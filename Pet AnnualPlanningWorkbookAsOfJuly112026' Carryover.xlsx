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onyourside.sharepoint.com/sites/DeliveryLeadershipTeam/Shared Documents/2026/Financial/"/>
    </mc:Choice>
  </mc:AlternateContent>
  <xr:revisionPtr revIDLastSave="0" documentId="8_{BAB05851-D6F6-4010-8FCE-4AE0A4027CE8}" xr6:coauthVersionLast="47" xr6:coauthVersionMax="47" xr10:uidLastSave="{00000000-0000-0000-0000-000000000000}"/>
  <bookViews>
    <workbookView xWindow="-120" yWindow="-120" windowWidth="57840" windowHeight="23520" tabRatio="500" firstSheet="1" activeTab="1" xr2:uid="{00000000-000D-0000-FFFF-FFFF00000000}"/>
  </bookViews>
  <sheets>
    <sheet name="2026" sheetId="2" state="hidden" r:id="rId1"/>
    <sheet name="Leslie_OG_2027" sheetId="3" r:id="rId2"/>
    <sheet name="Shilpa+Aastha" sheetId="5" state="hidden" r:id="rId3"/>
  </sheets>
  <definedNames>
    <definedName name="_xlnm._FilterDatabase" localSheetId="1" hidden="1">Leslie_OG_2027!$A$4:$Q$4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7" i="3" l="1"/>
  <c r="K14" i="5" l="1"/>
  <c r="K20" i="5"/>
  <c r="O31" i="3"/>
  <c r="O38" i="3" l="1"/>
  <c r="N52" i="2"/>
  <c r="M52" i="2"/>
  <c r="J52" i="2"/>
  <c r="N39" i="2"/>
  <c r="M39" i="2"/>
  <c r="J39" i="2"/>
  <c r="N29" i="2"/>
  <c r="M29" i="2"/>
  <c r="J29" i="2"/>
  <c r="N16" i="2"/>
  <c r="M16" i="2"/>
  <c r="J16" i="2"/>
  <c r="W11" i="2"/>
  <c r="V11" i="2"/>
  <c r="S11" i="2"/>
  <c r="U11" i="2" s="1"/>
  <c r="R11" i="2"/>
  <c r="T11" i="2" s="1"/>
  <c r="W9" i="2"/>
  <c r="V9" i="2"/>
  <c r="S9" i="2"/>
  <c r="U9" i="2" s="1"/>
  <c r="R9" i="2"/>
  <c r="T9" i="2" s="1"/>
  <c r="W7" i="2"/>
  <c r="V7" i="2"/>
  <c r="S7" i="2"/>
  <c r="U7" i="2" s="1"/>
  <c r="R7" i="2"/>
  <c r="T7" i="2" s="1"/>
  <c r="W5" i="2"/>
  <c r="V5" i="2"/>
  <c r="S5" i="2"/>
  <c r="R5" i="2"/>
  <c r="T5" i="2" s="1"/>
  <c r="Q14" i="2"/>
  <c r="V14" i="2" l="1"/>
  <c r="S14" i="2"/>
  <c r="U14" i="2" s="1"/>
  <c r="J54" i="2"/>
  <c r="W14" i="2"/>
  <c r="U5" i="2"/>
  <c r="R14" i="2"/>
  <c r="T1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5" authorId="0" shapeId="0" xr:uid="{00000000-0006-0000-0100-000001000000}">
      <text>
        <r>
          <rPr>
            <sz val="10"/>
            <rFont val="Arial"/>
            <family val="2"/>
          </rPr>
          <t>Enter 2025 budget target for Bucket A – Pet Transformation (PPT) in $K</t>
        </r>
      </text>
    </comment>
    <comment ref="J18" authorId="0" shapeId="0" xr:uid="{00000000-0006-0000-0100-000002000000}">
      <text>
        <r>
          <rPr>
            <sz val="10"/>
            <rFont val="Arial"/>
            <family val="2"/>
          </rPr>
          <t>Enter 2025 budget target for Bucket C – Core Operations in $K</t>
        </r>
      </text>
    </comment>
    <comment ref="J31" authorId="0" shapeId="0" xr:uid="{00000000-0006-0000-0100-000003000000}">
      <text>
        <r>
          <rPr>
            <sz val="10"/>
            <rFont val="Arial"/>
            <family val="2"/>
          </rPr>
          <t>Enter 2025 budget target for Bucket G – Growth in $K</t>
        </r>
      </text>
    </comment>
    <comment ref="J41" authorId="0" shapeId="0" xr:uid="{00000000-0006-0000-0100-000004000000}">
      <text>
        <r>
          <rPr>
            <sz val="10"/>
            <rFont val="Arial"/>
            <family val="2"/>
          </rPr>
          <t>Enter 2025 budget target for Bucket E – Enterprise in $K</t>
        </r>
      </text>
    </comment>
  </commentList>
</comments>
</file>

<file path=xl/sharedStrings.xml><?xml version="1.0" encoding="utf-8"?>
<sst xmlns="http://schemas.openxmlformats.org/spreadsheetml/2006/main" count="434" uniqueCount="195">
  <si>
    <t>Nationwide Pet Insurance  ·  Annual Build Budget Planning  ·  2026</t>
  </si>
  <si>
    <t>BUDGET SUMMARY TRACKER BY BUCKET</t>
  </si>
  <si>
    <t>Bucket</t>
  </si>
  <si>
    <t>Target ($K)</t>
  </si>
  <si>
    <t>Proposed ($K)</t>
  </si>
  <si>
    <t>Approved ($K)</t>
  </si>
  <si>
    <t>Proposed vs Target</t>
  </si>
  <si>
    <t>Approved vs Target</t>
  </si>
  <si>
    <t>Proj. Lift ($K)</t>
  </si>
  <si>
    <t>Proj. Lift (Units)</t>
  </si>
  <si>
    <t>Initiative Name</t>
  </si>
  <si>
    <t>Description</t>
  </si>
  <si>
    <t>Type</t>
  </si>
  <si>
    <t>Funding Status</t>
  </si>
  <si>
    <t>Priority</t>
  </si>
  <si>
    <t>Owner</t>
  </si>
  <si>
    <t>Qtr</t>
  </si>
  <si>
    <t>Strategic Tag</t>
  </si>
  <si>
    <t>Amount ($K)</t>
  </si>
  <si>
    <t>Benefit Type</t>
  </si>
  <si>
    <t>Benefit Metric</t>
  </si>
  <si>
    <t>Proposed Total</t>
  </si>
  <si>
    <t>Approved Total</t>
  </si>
  <si>
    <t>Proj. Units</t>
  </si>
  <si>
    <t>Bucket A – Pet Transformation (PPT)</t>
  </si>
  <si>
    <t>PPT Overhead + Continue Approved State Migrations</t>
  </si>
  <si>
    <t>Approved</t>
  </si>
  <si>
    <t>Q1</t>
  </si>
  <si>
    <t xml:space="preserve">  Positive variance = over budget  ·  Negative = under budget</t>
  </si>
  <si>
    <t>Bucket C – Core Operations</t>
  </si>
  <si>
    <t>Bucket G – Growth</t>
  </si>
  <si>
    <t>Bucket E – Enterprise</t>
  </si>
  <si>
    <t>GRAND TOTAL</t>
  </si>
  <si>
    <t>SUBTOTAL — Bucket A – Pet Transformation (PPT)</t>
  </si>
  <si>
    <t>Payroll Billing Portal</t>
  </si>
  <si>
    <t>Launch VB Employer Portal</t>
  </si>
  <si>
    <t>New</t>
  </si>
  <si>
    <t>Q4</t>
  </si>
  <si>
    <t>Data Strategy</t>
  </si>
  <si>
    <t>Harmonized Layer</t>
  </si>
  <si>
    <t>Deferred</t>
  </si>
  <si>
    <t>Regulatory Compliance</t>
  </si>
  <si>
    <t>Deliver on DOI Required Changes (e.g. PML remediation, MN Affinity Discount Removal.)</t>
  </si>
  <si>
    <t>Carry-Over</t>
  </si>
  <si>
    <t>BSA IT Operational Risk</t>
  </si>
  <si>
    <t>•Implement data center move (for Pet only or Pet and Infrastructure), GIN Cloud Migration,Informatica Powercenter Upgrade (incl. related SQL),Portal interface legacy CAM vith UAv3, Enhanced Internal Batch processing for Sales Commissions, REfresh Windows 2016, Migrate IR MSOffic 2016 capabilities)</t>
  </si>
  <si>
    <t>Product Rate, Maintenance, and Profitability</t>
  </si>
  <si>
    <t>Implement rate refreshes and profitability actions</t>
  </si>
  <si>
    <t>Majesco Mastek Vendor Supplement</t>
  </si>
  <si>
    <t>Funding ongoing REN development</t>
  </si>
  <si>
    <t>Project Contingency</t>
  </si>
  <si>
    <t>Bucket to address expected shortfalls for approved initiatives</t>
  </si>
  <si>
    <t>Rapid Reserve</t>
  </si>
  <si>
    <t>Bucket to fund unplanned/strategic initiatives</t>
  </si>
  <si>
    <t>SUBTOTAL — Bucket C – Core Operations</t>
  </si>
  <si>
    <t>2025 Carry Over</t>
  </si>
  <si>
    <t>MPPC Portability (aka MPPC to MPI Conversion)</t>
  </si>
  <si>
    <t>UW Questions Simplification (MPI)</t>
  </si>
  <si>
    <t>Continue eDelivery delivery (MMP2 from 2025 and deliver MMP3 to activate additional policy-driven retention communication plays – TAILS, etc.)</t>
  </si>
  <si>
    <t>GIN Batch Performance &amp; Portal Stability</t>
  </si>
  <si>
    <t>Growth Investment Placeholder</t>
  </si>
  <si>
    <t>SUBTOTAL — Bucket G – Growth</t>
  </si>
  <si>
    <t>TaiLWIND</t>
  </si>
  <si>
    <t>Enterprise Funded Flagship AI Program</t>
  </si>
  <si>
    <t>Enterprise</t>
  </si>
  <si>
    <t>Data Center Migration</t>
  </si>
  <si>
    <t>Complete Production Migration</t>
  </si>
  <si>
    <t>Q3</t>
  </si>
  <si>
    <t>SC 2025: Migrate Office tasks off servers (PET)</t>
  </si>
  <si>
    <t>SUBTOTAL — Bucket E – Enterprise</t>
  </si>
  <si>
    <t>GRAND TOTAL  ·  2026</t>
  </si>
  <si>
    <t>Nationwide Pet Insurance  ·  Annual Build Budget Planning  ·  2027 and 2026 Carryover</t>
  </si>
  <si>
    <t>#</t>
  </si>
  <si>
    <t>PV Name</t>
  </si>
  <si>
    <t>Work Item#</t>
  </si>
  <si>
    <t>2026 DL</t>
  </si>
  <si>
    <t>Delivery Target Qtr</t>
  </si>
  <si>
    <t>2027 Budgeted Amount ($M)</t>
  </si>
  <si>
    <t>2026 Acceleration Item?</t>
  </si>
  <si>
    <t>2026 unspent $ amt</t>
  </si>
  <si>
    <t>Additional 2027 Funding Needed</t>
  </si>
  <si>
    <t>Revised 2027 (Forecast of 2027 spend)</t>
  </si>
  <si>
    <t>Carryover Reason</t>
  </si>
  <si>
    <t>Comments</t>
  </si>
  <si>
    <t>2027 Budget Plan</t>
  </si>
  <si>
    <t>A</t>
  </si>
  <si>
    <t>NY, Unapproved States &amp; Legacy Product Build in GIN</t>
  </si>
  <si>
    <t>NW Pet:PPT  Unapproved States Product Build</t>
  </si>
  <si>
    <t>Ali</t>
  </si>
  <si>
    <t>Building NY, Unapproved migration states &amp; Legacy product build in GIN</t>
  </si>
  <si>
    <t>Q2</t>
  </si>
  <si>
    <t>PPT</t>
  </si>
  <si>
    <t>Y</t>
  </si>
  <si>
    <t>Base forecast: $3.40M (Starting Q2 2027 and completing Q2 2028)
-$0.10M Early start activities in 2026 (pending staffing and SOW execution)
+$0.10M Additional state implementation scope
+$0.60M Acceleration of work from 2028 into 2027 due to an earlier project start (original completion planned for Q2 2028)
+$0.15M Additional project team costs (pending final TA and Tech lead resource rates)
Revised forecast: $4.15M (Starting Q4 2026 finishing Q4 2027)</t>
  </si>
  <si>
    <t>Migrating NY, Unapproved States, and Legacy Policies from REN to GIN</t>
  </si>
  <si>
    <t>TBD</t>
  </si>
  <si>
    <t>Migration of NY, Unapproved migration states, and legacy policies from REN to GIN</t>
  </si>
  <si>
    <t>N</t>
  </si>
  <si>
    <t>C</t>
  </si>
  <si>
    <t>PPT - Migrating NY, Unapproved States, and Legacy Policies from REN to GIN</t>
  </si>
  <si>
    <t>Dup entry; same as above</t>
  </si>
  <si>
    <t>Continue Active Policy Migrations</t>
  </si>
  <si>
    <t>NW Pet - PPT - REN2GIN Policy migration-B2C</t>
  </si>
  <si>
    <t>Shilpa</t>
  </si>
  <si>
    <t>Continued work for WP to MPI, MPP to MPPC migrations</t>
  </si>
  <si>
    <t>Manual Migration Capability</t>
  </si>
  <si>
    <t>PPT - Complete Major Medical Build in GIN</t>
  </si>
  <si>
    <t>NW Pet – PPT – Major Medical – New Business on GIN</t>
  </si>
  <si>
    <t xml:space="preserve">Release delayed by one month, Warranty Support cost included in the revised estimates, $60k CR added for the Z160 Changes (scheduled for 2027), 
</t>
  </si>
  <si>
    <t xml:space="preserve">PPT - Migrating MM Policies from REN to GIN  </t>
  </si>
  <si>
    <t>NW Pet: PPT MM to MM Non CA Migration Capability</t>
  </si>
  <si>
    <t>PPT - Program Overhead</t>
  </si>
  <si>
    <t>PPT Program</t>
  </si>
  <si>
    <t>ECIF Data Integrity Effort - Portal and GIN stability</t>
  </si>
  <si>
    <t>NW Pet: Portal and GIN Stability</t>
  </si>
  <si>
    <t>Dinesh</t>
  </si>
  <si>
    <t>Continued Investment</t>
  </si>
  <si>
    <t>Growth</t>
  </si>
  <si>
    <t xml:space="preserve"> -- DDIT could not be initiated as planned in Sep 2026 due to JAVA skillset resource constraints. Starting Oct 2026 the resources are assigned and started working on this effort.
-- ECIF misunderstood the requirements and did not consider our full scope in their original   estimates although we submitted all the requirements as they requested in Aug. The ECIF onboarding discussion on 10/02 revealed that only a subset of our requirements was included in the original estimate.
-- The ECIF team has now aligned on the full scope, including MQ-to-Kafka migration, ECN synchronization, and registration email updates. ECIF is re-estimating the effort and will provide revised timelines in the week of 10/05. 
-- Working on a phased delivery strategy to maximize 2026 outcomes while sequencing remaining work into 2027 if necessary.</t>
  </si>
  <si>
    <t>Data Strategy/Harmonized Layer</t>
  </si>
  <si>
    <t>NW Pet: Data Strat - Analytic Rep via HL Domains</t>
  </si>
  <si>
    <t>Chalam</t>
  </si>
  <si>
    <t xml:space="preserve">Remove Systemic Growth Barriers - GIN / Portal stability </t>
  </si>
  <si>
    <t>NW Pet - DOI Compliance Reserves</t>
  </si>
  <si>
    <t>NA</t>
  </si>
  <si>
    <t>Regulatory</t>
  </si>
  <si>
    <t>NW Pet: 2026 Product Rate Refresh</t>
  </si>
  <si>
    <t>Ops / Core</t>
  </si>
  <si>
    <t>Move Informatica Powercenter, SQL&amp; Windows</t>
  </si>
  <si>
    <t xml:space="preserve">Deliver larger security-driven projects, Tech Currency, Tech Risk </t>
  </si>
  <si>
    <t>Informatica to Python is paused in 2026 and need to be resumed in 2027</t>
  </si>
  <si>
    <t xml:space="preserve">NW Pet: 2026 Business Risk Contingency Bucket
NW Pet: IT Operational Risk Reserve
NW Pet: Portfolio Readiness OTL Reserve
</t>
  </si>
  <si>
    <t>1030163
1032179
1032181</t>
  </si>
  <si>
    <t>G</t>
  </si>
  <si>
    <t xml:space="preserve"> Retention - Enabling proactive customer outreach (email, text, TAILS, etc.)</t>
  </si>
  <si>
    <t>Strategic Partnership Distribution Platform / Expand P.E.T. to support D2C</t>
  </si>
  <si>
    <t xml:space="preserve"> Project not yet created in PV pends submission to Pet IT intake</t>
  </si>
  <si>
    <t>White labeling capabilities</t>
  </si>
  <si>
    <t>Project notyet created in PV pends submission to Pet IT intake</t>
  </si>
  <si>
    <t>Workday Integration</t>
  </si>
  <si>
    <t>NW Pet: Strategic Growth Workday Intgrat'n Reserve</t>
  </si>
  <si>
    <t>Online Enrollment Optimization: A/B testing to increase conversion rates</t>
  </si>
  <si>
    <t>NW Pet: QEC A/B Testing &amp; Tool Enhancements</t>
  </si>
  <si>
    <t xml:space="preserve">Rekha </t>
  </si>
  <si>
    <t>Ongoing project.Existing budget will be utilized by 2026. If additional funding is approved by business and allocated then it will be used in 2027. Business has requested 100K  for 2027 which is yet to be approved</t>
  </si>
  <si>
    <t>Enable aggregator integration</t>
  </si>
  <si>
    <t>NW Pet: Aggregator Quote Capability Enablement</t>
  </si>
  <si>
    <t>Paula</t>
  </si>
  <si>
    <t>Yet to start</t>
  </si>
  <si>
    <t>Strategic Partnership Growth (Amazon, The Standard, etc.)</t>
  </si>
  <si>
    <t>VB Employer Portal</t>
  </si>
  <si>
    <t xml:space="preserve">NW Pet: PPT Payroll Billing Employer Experience </t>
  </si>
  <si>
    <t>The 2026 acceleration funding was not utilized because resources were not available to accelerate the Should-Have scope within 2026. Available resources remain focused on post-MVP support and Phase 2 implementation</t>
  </si>
  <si>
    <t>E</t>
  </si>
  <si>
    <t>TaiLWIND Phase 2</t>
  </si>
  <si>
    <t>NW Pet: TaiLWIND Phase 1 (Claims AI)</t>
  </si>
  <si>
    <t>Phase-2 work will kick-off in Dec-2026. CR to be approved for Dec -2026 cost</t>
  </si>
  <si>
    <t>2027 Acceleration Items Subtotal</t>
  </si>
  <si>
    <t>2026 Carryover Not Accounted for in 2027 Plan</t>
  </si>
  <si>
    <t>NW Pet: PET Enhancement- MPPC UW Questions MVP3</t>
  </si>
  <si>
    <t>Kinney</t>
  </si>
  <si>
    <t>10/12- This project is being carried over to 2027 due to higher priority and competing line work with other projects. After reviewing team capacity and delivery commitments, a December 2026 implementation was no longer achievable due to competing priorities, capacity constraints acrross the Scrum Sharks and Epic WInners teams and the December code freeze. The CR C-2436324 has been created to  represent the change request for MVP3.</t>
  </si>
  <si>
    <t>NW Pet: Underwriting Question Optimization for MPI</t>
  </si>
  <si>
    <t>Lalitha</t>
  </si>
  <si>
    <t xml:space="preserve">0.03
</t>
  </si>
  <si>
    <t>10/12- Lalitha already gave back $30k to strategy for 2026.Original amount of $300k is reduced to $258,596 (a $41,401 reduction which is 13.8%). Reduction justified by:
- Hours allocated directly to resources performing the work
- Contingency removed from estimate
Scrum Master has committed there will be no change to the agreed baselines unless a formal CR is submitted, reviewed and approved. 
Revised amount represent the expected delviery cost under the current scope, staffing model and delivery assumptions. The revised $258,596 UW Optimization budget supports the following 2027 delivery plan:
January 2027: MVP1 and MVP2 go-live, including warranty support; complete MVP3 development.
February 2027: Execute MVP3 end-to-end (E2E) testing and User Acceptance Testing (UAT). Defect Fix stemming from E2E/ UAT
March 2027: Implement MVP3
April 2027: Decommission MPI QEC. &amp; Defect fix release</t>
  </si>
  <si>
    <t>NW Pet: MPPC to MPI Conversion at Notice of Cancel</t>
  </si>
  <si>
    <t>10/12- No existing funding for 2027..Original amount of $150k is reduced to $88,824(a $61,176 reduction which is 40.8%)  Reduction justified by:
- Hours allocated directly to resources performing the work
- Contingency removed from estimate
Scrum Master has committed there will be no change to the agreed baselines unless a formal CR is submitted, reviewed and approved.
 The revised $88,824 MPPI-to-MPI budget supports the following 2027 delivery plan:
January 2027: Complete User Acceptance Testing (UAT) and address break-fix items.
February 2027: Execute the production release and provide warranty support.</t>
  </si>
  <si>
    <t>NW Pet: TCPA Preference Management Phase 1</t>
  </si>
  <si>
    <t>2026 Carryover to 2027 not originally in the 2027 budget Subtotal</t>
  </si>
  <si>
    <t>Grand total of carryover</t>
  </si>
  <si>
    <t>2027 Carry over</t>
  </si>
  <si>
    <t>Project/ Strategy</t>
  </si>
  <si>
    <t>Carry over/Accelerated</t>
  </si>
  <si>
    <t>YE Actual + Forecast</t>
  </si>
  <si>
    <t>2026 Original budget</t>
  </si>
  <si>
    <t>2026 _Revised plan</t>
  </si>
  <si>
    <t>Delta against 2026 revised plan $</t>
  </si>
  <si>
    <t>Carry Over to 27 (Y/N) and target</t>
  </si>
  <si>
    <t>2027 Cost
Original</t>
  </si>
  <si>
    <t xml:space="preserve">2027 Revised </t>
  </si>
  <si>
    <t>Variance for 2027</t>
  </si>
  <si>
    <t>PPT (001530001)</t>
  </si>
  <si>
    <t>Profitable Growth (303946001)</t>
  </si>
  <si>
    <t>Strategic Growth Initiative (001432001)</t>
  </si>
  <si>
    <t>Business Risks &amp; Ops Efficiency (303945001)</t>
  </si>
  <si>
    <t xml:space="preserve">Project Level </t>
  </si>
  <si>
    <t>Varience for 2027</t>
  </si>
  <si>
    <t>Y Q1 27</t>
  </si>
  <si>
    <t>Y Q4 27</t>
  </si>
  <si>
    <t>NW Pet – PPT Program</t>
  </si>
  <si>
    <t>Y Q2 27</t>
  </si>
  <si>
    <t>Pet Small Projects  allocation for MM</t>
  </si>
  <si>
    <t>NW Pet: Pet Model Law Reboot</t>
  </si>
  <si>
    <t>NW Pet: Move Informatica Powercenter, SQL&amp;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</si>
</sst>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164" formatCode="\$#,##0;&quot;($&quot;#,##0\);\-"/>
    <numFmt numFmtId="165" formatCode="#,##0;\(#,##0\);\-"/>
    <numFmt numFmtId="166" formatCode="_([$$-409]* #,##0.00_);_([$$-409]* \(#,##0.00\);_([$$-409]* &quot;-&quot;??_);_(@_)"/>
    <numFmt numFmtId="167" formatCode="\$#,##0.00;&quot;($&quot;#,##0.00\);\-"/>
    <numFmt numFmtId="168" formatCode="\$#,##0.000;&quot;($&quot;#,##0.000\);\-"/>
  </numFmts>
  <fonts count="30">
    <font>
      <sz val="11"/>
      <color theme="1"/>
      <name val="Calibri"/>
      <family val="2"/>
      <charset val="1"/>
    </font>
    <font>
      <b/>
      <sz val="15"/>
      <color rgb="FFFFFFFF"/>
      <name val="Calibri"/>
      <charset val="1"/>
    </font>
    <font>
      <i/>
      <sz val="9"/>
      <color rgb="FF7EC8C8"/>
      <name val="Calibri"/>
      <charset val="1"/>
    </font>
    <font>
      <b/>
      <sz val="10"/>
      <color rgb="FFFFFFFF"/>
      <name val="Calibri"/>
      <charset val="1"/>
    </font>
    <font>
      <b/>
      <sz val="11"/>
      <color rgb="FFFFFFFF"/>
      <name val="Calibri"/>
      <charset val="1"/>
    </font>
    <font>
      <b/>
      <sz val="9"/>
      <color rgb="FF006D77"/>
      <name val="Calibri"/>
      <charset val="1"/>
    </font>
    <font>
      <b/>
      <sz val="9"/>
      <color rgb="FF1B4F72"/>
      <name val="Calibri"/>
      <charset val="1"/>
    </font>
    <font>
      <b/>
      <sz val="9"/>
      <color rgb="FF166534"/>
      <name val="Calibri"/>
      <charset val="1"/>
    </font>
    <font>
      <b/>
      <sz val="9"/>
      <color rgb="FF5B21B6"/>
      <name val="Calibri"/>
      <charset val="1"/>
    </font>
    <font>
      <b/>
      <sz val="9"/>
      <color rgb="FFFFFFFF"/>
      <name val="Calibri"/>
      <charset val="1"/>
    </font>
    <font>
      <b/>
      <sz val="10"/>
      <color rgb="FF0000FF"/>
      <name val="Calibri"/>
      <charset val="1"/>
    </font>
    <font>
      <b/>
      <sz val="9"/>
      <color rgb="FF000000"/>
      <name val="Calibri"/>
      <charset val="1"/>
    </font>
    <font>
      <sz val="9"/>
      <color rgb="FF0000FF"/>
      <name val="Calibri"/>
      <charset val="1"/>
    </font>
    <font>
      <i/>
      <sz val="7.5"/>
      <color rgb="FF94A3B8"/>
      <name val="Calibri"/>
      <charset val="1"/>
    </font>
    <font>
      <sz val="10"/>
      <name val="Arial"/>
      <family val="2"/>
    </font>
    <font>
      <sz val="9"/>
      <color theme="1"/>
      <name val="Calibri"/>
      <family val="2"/>
    </font>
    <font>
      <sz val="9"/>
      <color rgb="FF0000FF"/>
      <name val="Calibri"/>
      <family val="2"/>
    </font>
    <font>
      <b/>
      <sz val="11"/>
      <color rgb="FFFFFFFF"/>
      <name val="Calibri"/>
      <family val="2"/>
    </font>
    <font>
      <sz val="9"/>
      <name val="Calibri"/>
      <family val="2"/>
    </font>
    <font>
      <i/>
      <sz val="9"/>
      <color rgb="FF7EC8C8"/>
      <name val="Calibri"/>
      <family val="2"/>
    </font>
    <font>
      <b/>
      <sz val="9"/>
      <color rgb="FFFFFFFF"/>
      <name val="Calibri"/>
      <family val="2"/>
    </font>
    <font>
      <b/>
      <sz val="11"/>
      <color theme="1"/>
      <name val="Calibri"/>
      <family val="2"/>
    </font>
    <font>
      <b/>
      <sz val="9"/>
      <color theme="0"/>
      <name val="Calibri"/>
      <family val="2"/>
    </font>
    <font>
      <sz val="11"/>
      <color rgb="FF000000"/>
      <name val="Calibri"/>
      <family val="2"/>
      <charset val="1"/>
    </font>
    <font>
      <b/>
      <sz val="11"/>
      <color rgb="FF000000"/>
      <name val="Calibri"/>
      <family val="2"/>
      <charset val="1"/>
    </font>
    <font>
      <sz val="11"/>
      <color rgb="FFFF0000"/>
      <name val="Calibri"/>
      <family val="2"/>
      <charset val="1"/>
    </font>
    <font>
      <sz val="11"/>
      <color theme="1"/>
      <name val="Calibri"/>
      <family val="2"/>
    </font>
    <font>
      <sz val="9"/>
      <color theme="1"/>
      <name val="Calibri"/>
      <family val="2"/>
      <charset val="1"/>
    </font>
    <font>
      <sz val="7"/>
      <color rgb="FF222222"/>
      <name val="Arial"/>
      <family val="2"/>
    </font>
    <font>
      <sz val="9"/>
      <color rgb="FF000000"/>
      <name val="Calibri"/>
    </font>
  </fonts>
  <fills count="18">
    <fill>
      <patternFill patternType="none"/>
    </fill>
    <fill>
      <patternFill patternType="gray125"/>
    </fill>
    <fill>
      <patternFill patternType="solid">
        <fgColor rgb="FF12192B"/>
        <bgColor rgb="FF000000"/>
      </patternFill>
    </fill>
    <fill>
      <patternFill patternType="solid">
        <fgColor rgb="FFF7F8FA"/>
        <bgColor rgb="FFF5F3FF"/>
      </patternFill>
    </fill>
    <fill>
      <patternFill patternType="solid">
        <fgColor rgb="FF006D77"/>
        <bgColor rgb="FF166534"/>
      </patternFill>
    </fill>
    <fill>
      <patternFill patternType="solid">
        <fgColor rgb="FFEDF1F5"/>
        <bgColor rgb="FFEBF3FA"/>
      </patternFill>
    </fill>
    <fill>
      <patternFill patternType="solid">
        <fgColor rgb="FFE0F2F4"/>
        <bgColor rgb="FFEBF3FA"/>
      </patternFill>
    </fill>
    <fill>
      <patternFill patternType="solid">
        <fgColor rgb="FFEBF3FA"/>
        <bgColor rgb="FFEDF1F5"/>
      </patternFill>
    </fill>
    <fill>
      <patternFill patternType="solid">
        <fgColor rgb="FFDCFCE7"/>
        <bgColor rgb="FFE0F2F4"/>
      </patternFill>
    </fill>
    <fill>
      <patternFill patternType="solid">
        <fgColor rgb="FFF5F3FF"/>
        <bgColor rgb="FFF7F8FA"/>
      </patternFill>
    </fill>
    <fill>
      <patternFill patternType="solid">
        <fgColor rgb="FFFFFFFF"/>
        <bgColor rgb="FFF7F8FA"/>
      </patternFill>
    </fill>
    <fill>
      <patternFill patternType="solid">
        <fgColor rgb="FF1B4F72"/>
        <bgColor rgb="FF166534"/>
      </patternFill>
    </fill>
    <fill>
      <patternFill patternType="solid">
        <fgColor rgb="FF166534"/>
        <bgColor rgb="FF006D77"/>
      </patternFill>
    </fill>
    <fill>
      <patternFill patternType="solid">
        <fgColor rgb="FF5B21B6"/>
        <bgColor rgb="FF800080"/>
      </patternFill>
    </fill>
    <fill>
      <patternFill patternType="solid">
        <fgColor theme="4"/>
        <bgColor rgb="FF000000"/>
      </patternFill>
    </fill>
    <fill>
      <patternFill patternType="solid">
        <fgColor rgb="FFFFFF00"/>
        <bgColor indexed="64"/>
      </patternFill>
    </fill>
    <fill>
      <patternFill patternType="solid">
        <fgColor rgb="FFE2ECF8"/>
        <bgColor rgb="FF000000"/>
      </patternFill>
    </fill>
    <fill>
      <patternFill patternType="solid">
        <fgColor rgb="FFFFFFFF"/>
        <bgColor rgb="FF000000"/>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D1D9E0"/>
      </left>
      <right style="thin">
        <color rgb="FFD1D9E0"/>
      </right>
      <top style="thin">
        <color rgb="FFD1D9E0"/>
      </top>
      <bottom style="thin">
        <color rgb="FFD1D9E0"/>
      </bottom>
      <diagonal/>
    </border>
    <border>
      <left/>
      <right/>
      <top style="thin">
        <color rgb="FFFFFFFF"/>
      </top>
      <bottom/>
      <diagonal/>
    </border>
    <border>
      <left/>
      <right/>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D1D9E0"/>
      </right>
      <top style="thin">
        <color rgb="FFD1D9E0"/>
      </top>
      <bottom style="thin">
        <color rgb="FFD1D9E0"/>
      </bottom>
      <diagonal/>
    </border>
  </borders>
  <cellStyleXfs count="1">
    <xf numFmtId="0" fontId="0" fillId="0" borderId="0"/>
  </cellStyleXfs>
  <cellXfs count="186">
    <xf numFmtId="0" fontId="0" fillId="0" borderId="0" xfId="0"/>
    <xf numFmtId="0" fontId="0" fillId="3" borderId="0" xfId="0" applyFill="1"/>
    <xf numFmtId="0" fontId="5" fillId="6" borderId="2" xfId="0" applyFont="1" applyFill="1" applyBorder="1" applyAlignment="1">
      <alignment horizontal="left" vertical="center"/>
    </xf>
    <xf numFmtId="0" fontId="6" fillId="7" borderId="2" xfId="0" applyFont="1" applyFill="1" applyBorder="1" applyAlignment="1">
      <alignment horizontal="left" vertical="center"/>
    </xf>
    <xf numFmtId="0" fontId="7" fillId="8" borderId="2" xfId="0" applyFont="1" applyFill="1" applyBorder="1" applyAlignment="1">
      <alignment horizontal="left" vertical="center"/>
    </xf>
    <xf numFmtId="0" fontId="8" fillId="9" borderId="2" xfId="0" applyFont="1" applyFill="1" applyBorder="1" applyAlignment="1">
      <alignment horizontal="left" vertical="center"/>
    </xf>
    <xf numFmtId="0" fontId="0" fillId="2" borderId="0" xfId="0" applyFill="1"/>
    <xf numFmtId="0" fontId="9" fillId="2" borderId="1" xfId="0" applyFont="1" applyFill="1" applyBorder="1" applyAlignment="1">
      <alignment horizontal="center" vertical="center" wrapText="1"/>
    </xf>
    <xf numFmtId="0" fontId="0" fillId="4" borderId="0" xfId="0" applyFill="1"/>
    <xf numFmtId="164" fontId="10" fillId="4" borderId="0" xfId="0" applyNumberFormat="1" applyFont="1" applyFill="1" applyAlignment="1">
      <alignment horizontal="center" vertical="center"/>
    </xf>
    <xf numFmtId="164" fontId="11" fillId="6" borderId="2" xfId="0" applyNumberFormat="1" applyFont="1" applyFill="1" applyBorder="1" applyAlignment="1">
      <alignment horizontal="center" vertical="center"/>
    </xf>
    <xf numFmtId="165" fontId="11" fillId="6" borderId="2" xfId="0" applyNumberFormat="1" applyFont="1" applyFill="1" applyBorder="1" applyAlignment="1">
      <alignment horizontal="center" vertical="center"/>
    </xf>
    <xf numFmtId="0" fontId="0" fillId="10" borderId="0" xfId="0" applyFill="1"/>
    <xf numFmtId="0" fontId="12" fillId="10" borderId="2" xfId="0" applyFont="1" applyFill="1" applyBorder="1" applyAlignment="1">
      <alignment horizontal="left" vertical="center"/>
    </xf>
    <xf numFmtId="0" fontId="12" fillId="10" borderId="2" xfId="0" applyFont="1" applyFill="1" applyBorder="1" applyAlignment="1">
      <alignment horizontal="left" vertical="center" wrapText="1"/>
    </xf>
    <xf numFmtId="0" fontId="12" fillId="10" borderId="2" xfId="0" applyFont="1" applyFill="1" applyBorder="1" applyAlignment="1">
      <alignment horizontal="center" vertical="center"/>
    </xf>
    <xf numFmtId="164" fontId="12" fillId="10" borderId="2" xfId="0" applyNumberFormat="1" applyFont="1" applyFill="1" applyBorder="1" applyAlignment="1">
      <alignment horizontal="center" vertical="center"/>
    </xf>
    <xf numFmtId="165" fontId="12" fillId="10" borderId="2" xfId="0" applyNumberFormat="1" applyFont="1" applyFill="1" applyBorder="1" applyAlignment="1">
      <alignment horizontal="center" vertical="center"/>
    </xf>
    <xf numFmtId="0" fontId="12" fillId="3" borderId="2" xfId="0" applyFont="1" applyFill="1" applyBorder="1" applyAlignment="1">
      <alignment horizontal="left" vertical="center"/>
    </xf>
    <xf numFmtId="0" fontId="12" fillId="3" borderId="2" xfId="0" applyFont="1" applyFill="1" applyBorder="1" applyAlignment="1">
      <alignment horizontal="left" vertical="center" wrapText="1"/>
    </xf>
    <xf numFmtId="0" fontId="12" fillId="3" borderId="2" xfId="0" applyFont="1" applyFill="1" applyBorder="1" applyAlignment="1">
      <alignment horizontal="center" vertical="center"/>
    </xf>
    <xf numFmtId="164" fontId="12" fillId="3" borderId="2" xfId="0" applyNumberFormat="1" applyFont="1" applyFill="1" applyBorder="1" applyAlignment="1">
      <alignment horizontal="center" vertical="center"/>
    </xf>
    <xf numFmtId="165" fontId="12" fillId="3" borderId="2" xfId="0" applyNumberFormat="1" applyFont="1" applyFill="1" applyBorder="1" applyAlignment="1">
      <alignment horizontal="center" vertical="center"/>
    </xf>
    <xf numFmtId="164" fontId="11" fillId="7" borderId="2" xfId="0" applyNumberFormat="1" applyFont="1" applyFill="1" applyBorder="1" applyAlignment="1">
      <alignment horizontal="center" vertical="center"/>
    </xf>
    <xf numFmtId="165" fontId="11" fillId="7" borderId="2" xfId="0" applyNumberFormat="1" applyFont="1" applyFill="1" applyBorder="1" applyAlignment="1">
      <alignment horizontal="center" vertical="center"/>
    </xf>
    <xf numFmtId="164" fontId="11" fillId="8" borderId="2" xfId="0" applyNumberFormat="1" applyFont="1" applyFill="1" applyBorder="1" applyAlignment="1">
      <alignment horizontal="center" vertical="center"/>
    </xf>
    <xf numFmtId="165" fontId="11" fillId="8" borderId="2" xfId="0" applyNumberFormat="1" applyFont="1" applyFill="1" applyBorder="1" applyAlignment="1">
      <alignment horizontal="center" vertical="center"/>
    </xf>
    <xf numFmtId="164" fontId="11" fillId="9" borderId="2" xfId="0" applyNumberFormat="1" applyFont="1" applyFill="1" applyBorder="1" applyAlignment="1">
      <alignment horizontal="center" vertical="center"/>
    </xf>
    <xf numFmtId="165" fontId="11" fillId="9" borderId="2" xfId="0" applyNumberFormat="1" applyFont="1" applyFill="1" applyBorder="1" applyAlignment="1">
      <alignment horizontal="center" vertical="center"/>
    </xf>
    <xf numFmtId="164" fontId="9" fillId="4" borderId="0" xfId="0" applyNumberFormat="1" applyFont="1" applyFill="1" applyAlignment="1">
      <alignment horizontal="center" vertical="center"/>
    </xf>
    <xf numFmtId="165" fontId="9" fillId="4" borderId="0" xfId="0" applyNumberFormat="1" applyFont="1" applyFill="1" applyAlignment="1">
      <alignment horizontal="center" vertical="center"/>
    </xf>
    <xf numFmtId="0" fontId="0" fillId="11" borderId="0" xfId="0" applyFill="1"/>
    <xf numFmtId="164" fontId="10" fillId="11" borderId="0" xfId="0" applyNumberFormat="1" applyFont="1" applyFill="1" applyAlignment="1">
      <alignment horizontal="center" vertical="center"/>
    </xf>
    <xf numFmtId="164" fontId="9" fillId="11" borderId="0" xfId="0" applyNumberFormat="1" applyFont="1" applyFill="1" applyAlignment="1">
      <alignment horizontal="center" vertical="center"/>
    </xf>
    <xf numFmtId="165" fontId="9" fillId="11" borderId="0" xfId="0" applyNumberFormat="1" applyFont="1" applyFill="1" applyAlignment="1">
      <alignment horizontal="center" vertical="center"/>
    </xf>
    <xf numFmtId="0" fontId="0" fillId="12" borderId="0" xfId="0" applyFill="1"/>
    <xf numFmtId="164" fontId="10" fillId="12" borderId="0" xfId="0" applyNumberFormat="1" applyFont="1" applyFill="1" applyAlignment="1">
      <alignment horizontal="center" vertical="center"/>
    </xf>
    <xf numFmtId="164" fontId="9" fillId="12" borderId="0" xfId="0" applyNumberFormat="1" applyFont="1" applyFill="1" applyAlignment="1">
      <alignment horizontal="center" vertical="center"/>
    </xf>
    <xf numFmtId="165" fontId="9" fillId="12" borderId="0" xfId="0" applyNumberFormat="1" applyFont="1" applyFill="1" applyAlignment="1">
      <alignment horizontal="center" vertical="center"/>
    </xf>
    <xf numFmtId="0" fontId="0" fillId="13" borderId="0" xfId="0" applyFill="1"/>
    <xf numFmtId="164" fontId="10" fillId="13" borderId="0" xfId="0" applyNumberFormat="1" applyFont="1" applyFill="1" applyAlignment="1">
      <alignment horizontal="center" vertical="center"/>
    </xf>
    <xf numFmtId="164" fontId="9" fillId="13" borderId="0" xfId="0" applyNumberFormat="1" applyFont="1" applyFill="1" applyAlignment="1">
      <alignment horizontal="center" vertical="center"/>
    </xf>
    <xf numFmtId="165" fontId="9" fillId="13" borderId="0" xfId="0" applyNumberFormat="1" applyFont="1" applyFill="1" applyAlignment="1">
      <alignment horizontal="center" vertical="center"/>
    </xf>
    <xf numFmtId="167" fontId="9" fillId="11" borderId="0" xfId="0" applyNumberFormat="1" applyFont="1" applyFill="1" applyAlignment="1">
      <alignment horizontal="center" vertical="center"/>
    </xf>
    <xf numFmtId="167" fontId="11" fillId="7" borderId="2" xfId="0" applyNumberFormat="1" applyFont="1" applyFill="1" applyBorder="1" applyAlignment="1">
      <alignment horizontal="center" vertical="center"/>
    </xf>
    <xf numFmtId="167" fontId="11" fillId="6" borderId="2" xfId="0" applyNumberFormat="1" applyFont="1" applyFill="1" applyBorder="1" applyAlignment="1">
      <alignment horizontal="center" vertical="center"/>
    </xf>
    <xf numFmtId="167" fontId="11" fillId="8" borderId="2" xfId="0" applyNumberFormat="1" applyFont="1" applyFill="1" applyBorder="1" applyAlignment="1">
      <alignment horizontal="center" vertical="center"/>
    </xf>
    <xf numFmtId="167" fontId="3" fillId="2" borderId="1" xfId="0" applyNumberFormat="1" applyFont="1" applyFill="1" applyBorder="1" applyAlignment="1">
      <alignment horizontal="center" vertical="center"/>
    </xf>
    <xf numFmtId="0" fontId="16" fillId="3" borderId="2" xfId="0" applyFont="1" applyFill="1" applyBorder="1" applyAlignment="1">
      <alignment horizontal="left" vertical="center"/>
    </xf>
    <xf numFmtId="167" fontId="9" fillId="4" borderId="0" xfId="0" applyNumberFormat="1" applyFont="1" applyFill="1" applyAlignment="1">
      <alignment horizontal="center" vertical="center"/>
    </xf>
    <xf numFmtId="0" fontId="18" fillId="10" borderId="2" xfId="0" applyFont="1" applyFill="1" applyBorder="1" applyAlignment="1">
      <alignment horizontal="left" vertical="center"/>
    </xf>
    <xf numFmtId="0" fontId="18" fillId="10" borderId="2" xfId="0" applyFont="1" applyFill="1" applyBorder="1" applyAlignment="1">
      <alignment horizontal="left" vertical="center" wrapText="1"/>
    </xf>
    <xf numFmtId="0" fontId="18" fillId="3" borderId="2" xfId="0" applyFont="1" applyFill="1" applyBorder="1" applyAlignment="1">
      <alignment horizontal="left" vertical="center"/>
    </xf>
    <xf numFmtId="0" fontId="18" fillId="3" borderId="2" xfId="0" applyFont="1" applyFill="1" applyBorder="1" applyAlignment="1">
      <alignment horizontal="left" vertical="center" wrapText="1"/>
    </xf>
    <xf numFmtId="167" fontId="12" fillId="3" borderId="2" xfId="0" applyNumberFormat="1" applyFont="1" applyFill="1" applyBorder="1" applyAlignment="1">
      <alignment horizontal="center" vertical="center"/>
    </xf>
    <xf numFmtId="0" fontId="18" fillId="10" borderId="2" xfId="0" applyFont="1" applyFill="1" applyBorder="1" applyAlignment="1">
      <alignment horizontal="center" vertical="center"/>
    </xf>
    <xf numFmtId="167" fontId="18" fillId="10" borderId="2" xfId="0" applyNumberFormat="1" applyFont="1" applyFill="1" applyBorder="1" applyAlignment="1">
      <alignment horizontal="center" vertical="center"/>
    </xf>
    <xf numFmtId="0" fontId="18" fillId="3" borderId="2" xfId="0" applyFont="1" applyFill="1" applyBorder="1" applyAlignment="1">
      <alignment horizontal="center" vertical="center"/>
    </xf>
    <xf numFmtId="167" fontId="18" fillId="3" borderId="2" xfId="0" applyNumberFormat="1" applyFont="1" applyFill="1" applyBorder="1" applyAlignment="1">
      <alignment horizontal="center" vertical="center"/>
    </xf>
    <xf numFmtId="164" fontId="18" fillId="3" borderId="2" xfId="0" applyNumberFormat="1" applyFont="1" applyFill="1" applyBorder="1" applyAlignment="1">
      <alignment horizontal="center" vertical="center"/>
    </xf>
    <xf numFmtId="0" fontId="9" fillId="14" borderId="0" xfId="0" applyFont="1" applyFill="1" applyAlignment="1">
      <alignment horizontal="center" vertical="center" wrapText="1"/>
    </xf>
    <xf numFmtId="0" fontId="9" fillId="14" borderId="1" xfId="0" applyFont="1" applyFill="1" applyBorder="1" applyAlignment="1">
      <alignment horizontal="center" vertical="center" wrapText="1"/>
    </xf>
    <xf numFmtId="0" fontId="3" fillId="14" borderId="1" xfId="0" applyFont="1" applyFill="1" applyBorder="1" applyAlignment="1">
      <alignment horizontal="center" vertical="center"/>
    </xf>
    <xf numFmtId="164" fontId="3" fillId="14" borderId="1" xfId="0" applyNumberFormat="1" applyFont="1" applyFill="1" applyBorder="1" applyAlignment="1">
      <alignment horizontal="center" vertical="center"/>
    </xf>
    <xf numFmtId="165" fontId="3" fillId="14" borderId="1" xfId="0" applyNumberFormat="1" applyFont="1" applyFill="1" applyBorder="1" applyAlignment="1">
      <alignment horizontal="center" vertical="center"/>
    </xf>
    <xf numFmtId="167" fontId="3" fillId="14" borderId="1" xfId="0" applyNumberFormat="1" applyFont="1" applyFill="1" applyBorder="1" applyAlignment="1">
      <alignment horizontal="center" vertical="center"/>
    </xf>
    <xf numFmtId="167" fontId="4" fillId="2" borderId="0" xfId="0" applyNumberFormat="1" applyFont="1" applyFill="1" applyAlignment="1">
      <alignment horizontal="center" vertical="center"/>
    </xf>
    <xf numFmtId="167" fontId="9" fillId="13" borderId="0" xfId="0" applyNumberFormat="1" applyFont="1" applyFill="1" applyAlignment="1">
      <alignment horizontal="center" vertical="center"/>
    </xf>
    <xf numFmtId="168" fontId="18" fillId="3" borderId="2" xfId="0" applyNumberFormat="1" applyFont="1" applyFill="1" applyBorder="1" applyAlignment="1">
      <alignment horizontal="center" vertical="center"/>
    </xf>
    <xf numFmtId="168" fontId="18" fillId="10" borderId="2" xfId="0" applyNumberFormat="1" applyFont="1" applyFill="1" applyBorder="1" applyAlignment="1">
      <alignment horizontal="center" vertical="center"/>
    </xf>
    <xf numFmtId="167" fontId="11" fillId="9" borderId="2" xfId="0" applyNumberFormat="1" applyFont="1" applyFill="1" applyBorder="1" applyAlignment="1">
      <alignment horizontal="center" vertical="center"/>
    </xf>
    <xf numFmtId="0" fontId="23" fillId="0" borderId="0" xfId="0" applyFont="1"/>
    <xf numFmtId="0" fontId="0" fillId="0" borderId="0" xfId="0" applyAlignment="1">
      <alignment vertical="top"/>
    </xf>
    <xf numFmtId="0" fontId="23" fillId="0" borderId="0" xfId="0" applyFont="1" applyAlignment="1">
      <alignment horizontal="center"/>
    </xf>
    <xf numFmtId="6" fontId="23" fillId="0" borderId="6" xfId="0" applyNumberFormat="1" applyFont="1" applyBorder="1" applyAlignment="1">
      <alignment horizontal="center"/>
    </xf>
    <xf numFmtId="0" fontId="0" fillId="0" borderId="0" xfId="0" applyAlignment="1">
      <alignment horizontal="center"/>
    </xf>
    <xf numFmtId="6" fontId="23" fillId="0" borderId="0" xfId="0" applyNumberFormat="1" applyFont="1" applyAlignment="1">
      <alignment horizontal="center"/>
    </xf>
    <xf numFmtId="0" fontId="24" fillId="16" borderId="7" xfId="0" applyFont="1" applyFill="1" applyBorder="1" applyAlignment="1">
      <alignment vertical="top"/>
    </xf>
    <xf numFmtId="0" fontId="24" fillId="16" borderId="7" xfId="0" applyFont="1" applyFill="1" applyBorder="1" applyAlignment="1">
      <alignment horizontal="center" vertical="top" wrapText="1"/>
    </xf>
    <xf numFmtId="0" fontId="24" fillId="16" borderId="7" xfId="0" applyFont="1" applyFill="1" applyBorder="1" applyAlignment="1">
      <alignment horizontal="center" vertical="top"/>
    </xf>
    <xf numFmtId="0" fontId="23" fillId="0" borderId="7" xfId="0" applyFont="1" applyBorder="1"/>
    <xf numFmtId="6" fontId="23" fillId="0" borderId="7" xfId="0" applyNumberFormat="1" applyFont="1" applyBorder="1" applyAlignment="1">
      <alignment horizontal="center"/>
    </xf>
    <xf numFmtId="0" fontId="23" fillId="0" borderId="7" xfId="0" applyFont="1" applyBorder="1" applyAlignment="1">
      <alignment horizontal="center"/>
    </xf>
    <xf numFmtId="6" fontId="25" fillId="0" borderId="7" xfId="0" applyNumberFormat="1" applyFont="1" applyBorder="1" applyAlignment="1">
      <alignment horizontal="center"/>
    </xf>
    <xf numFmtId="0" fontId="24" fillId="16" borderId="7" xfId="0" applyFont="1" applyFill="1" applyBorder="1"/>
    <xf numFmtId="0" fontId="24" fillId="16" borderId="7" xfId="0" applyFont="1" applyFill="1" applyBorder="1" applyAlignment="1">
      <alignment horizontal="center" wrapText="1"/>
    </xf>
    <xf numFmtId="0" fontId="24" fillId="16" borderId="7" xfId="0" applyFont="1" applyFill="1" applyBorder="1" applyAlignment="1">
      <alignment horizontal="center"/>
    </xf>
    <xf numFmtId="8" fontId="23" fillId="0" borderId="7" xfId="0" applyNumberFormat="1" applyFont="1" applyBorder="1" applyAlignment="1">
      <alignment horizontal="center"/>
    </xf>
    <xf numFmtId="8" fontId="23" fillId="17" borderId="7" xfId="0" applyNumberFormat="1" applyFont="1" applyFill="1" applyBorder="1" applyAlignment="1">
      <alignment horizontal="center"/>
    </xf>
    <xf numFmtId="0" fontId="23" fillId="15" borderId="7" xfId="0" applyFont="1" applyFill="1" applyBorder="1" applyAlignment="1">
      <alignment horizontal="center"/>
    </xf>
    <xf numFmtId="0" fontId="0" fillId="3" borderId="0" xfId="0" applyFill="1" applyAlignment="1">
      <alignment vertical="top"/>
    </xf>
    <xf numFmtId="0" fontId="0" fillId="3" borderId="2" xfId="0" applyFill="1" applyBorder="1" applyAlignment="1">
      <alignment vertical="top"/>
    </xf>
    <xf numFmtId="0" fontId="0" fillId="10" borderId="0" xfId="0" applyFill="1" applyAlignment="1">
      <alignment vertical="top"/>
    </xf>
    <xf numFmtId="0" fontId="20" fillId="2" borderId="1" xfId="0" applyFont="1" applyFill="1" applyBorder="1" applyAlignment="1">
      <alignment horizontal="center" vertical="top" wrapText="1"/>
    </xf>
    <xf numFmtId="0" fontId="21" fillId="10" borderId="4" xfId="0" applyFont="1" applyFill="1" applyBorder="1" applyAlignment="1">
      <alignment horizontal="left" vertical="top"/>
    </xf>
    <xf numFmtId="0" fontId="0" fillId="3" borderId="0" xfId="0" applyFill="1" applyAlignment="1">
      <alignment horizontal="center" vertical="top"/>
    </xf>
    <xf numFmtId="0" fontId="21" fillId="10" borderId="4" xfId="0" applyFont="1" applyFill="1" applyBorder="1" applyAlignment="1">
      <alignment horizontal="center" vertical="top"/>
    </xf>
    <xf numFmtId="0" fontId="21" fillId="0" borderId="0" xfId="0" applyFont="1" applyAlignment="1">
      <alignment horizontal="center" vertical="top"/>
    </xf>
    <xf numFmtId="0" fontId="0" fillId="0" borderId="0" xfId="0" applyAlignment="1">
      <alignment horizontal="center" vertical="top"/>
    </xf>
    <xf numFmtId="0" fontId="0" fillId="2" borderId="0" xfId="0" applyFill="1" applyAlignment="1">
      <alignment vertical="top"/>
    </xf>
    <xf numFmtId="0" fontId="1" fillId="2" borderId="0" xfId="0" applyFont="1" applyFill="1" applyAlignment="1">
      <alignment horizontal="left" vertical="top"/>
    </xf>
    <xf numFmtId="0" fontId="2" fillId="2" borderId="0" xfId="0" applyFont="1" applyFill="1" applyAlignment="1">
      <alignment horizontal="left" vertical="top"/>
    </xf>
    <xf numFmtId="0" fontId="22" fillId="2" borderId="1" xfId="0" applyFont="1" applyFill="1" applyBorder="1" applyAlignment="1">
      <alignment horizontal="center" vertical="top" wrapText="1"/>
    </xf>
    <xf numFmtId="0" fontId="9" fillId="2" borderId="1" xfId="0" applyFont="1" applyFill="1" applyBorder="1" applyAlignment="1">
      <alignment horizontal="center" vertical="top" wrapText="1"/>
    </xf>
    <xf numFmtId="0" fontId="0" fillId="10" borderId="4" xfId="0" applyFill="1" applyBorder="1" applyAlignment="1">
      <alignment horizontal="left" vertical="top"/>
    </xf>
    <xf numFmtId="166" fontId="0" fillId="10" borderId="4" xfId="0" applyNumberFormat="1" applyFill="1" applyBorder="1" applyAlignment="1">
      <alignment horizontal="left" vertical="top"/>
    </xf>
    <xf numFmtId="0" fontId="0" fillId="3" borderId="5" xfId="0" applyFill="1" applyBorder="1" applyAlignment="1">
      <alignment horizontal="center" vertical="top"/>
    </xf>
    <xf numFmtId="0" fontId="23" fillId="0" borderId="5" xfId="0" applyFont="1" applyBorder="1" applyAlignment="1">
      <alignment vertical="top"/>
    </xf>
    <xf numFmtId="0" fontId="15" fillId="3" borderId="5" xfId="0" applyFont="1" applyFill="1" applyBorder="1" applyAlignment="1">
      <alignment horizontal="left" vertical="top"/>
    </xf>
    <xf numFmtId="0" fontId="22" fillId="2" borderId="1" xfId="0" applyFont="1" applyFill="1" applyBorder="1"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0" fillId="3" borderId="0" xfId="0" applyFill="1" applyAlignment="1">
      <alignment vertical="top" wrapText="1"/>
    </xf>
    <xf numFmtId="0" fontId="0" fillId="10" borderId="4" xfId="0" applyFill="1" applyBorder="1" applyAlignment="1">
      <alignment vertical="top" wrapText="1"/>
    </xf>
    <xf numFmtId="0" fontId="21" fillId="0" borderId="0" xfId="0" applyFont="1" applyAlignment="1">
      <alignment vertical="top" wrapText="1"/>
    </xf>
    <xf numFmtId="0" fontId="0" fillId="0" borderId="0" xfId="0" applyAlignment="1">
      <alignment vertical="top" wrapText="1"/>
    </xf>
    <xf numFmtId="166" fontId="15" fillId="3" borderId="8" xfId="0" applyNumberFormat="1" applyFont="1" applyFill="1" applyBorder="1" applyAlignment="1">
      <alignment vertical="top" wrapText="1"/>
    </xf>
    <xf numFmtId="166" fontId="15" fillId="3" borderId="5" xfId="0" applyNumberFormat="1" applyFont="1" applyFill="1" applyBorder="1" applyAlignment="1">
      <alignment horizontal="center" vertical="top"/>
    </xf>
    <xf numFmtId="166" fontId="27" fillId="3" borderId="5" xfId="0" applyNumberFormat="1" applyFont="1" applyFill="1" applyBorder="1" applyAlignment="1">
      <alignment horizontal="center" vertical="center" wrapText="1"/>
    </xf>
    <xf numFmtId="0" fontId="18" fillId="10" borderId="5" xfId="0" applyFont="1" applyFill="1" applyBorder="1" applyAlignment="1">
      <alignment horizontal="left" vertical="top"/>
    </xf>
    <xf numFmtId="0" fontId="28" fillId="0" borderId="5" xfId="0" applyFont="1" applyBorder="1" applyAlignment="1">
      <alignment horizontal="center" vertical="top"/>
    </xf>
    <xf numFmtId="0" fontId="15" fillId="3" borderId="5" xfId="0" applyFont="1" applyFill="1" applyBorder="1" applyAlignment="1">
      <alignment horizontal="center" vertical="top"/>
    </xf>
    <xf numFmtId="0" fontId="15" fillId="3" borderId="5" xfId="0" applyFont="1" applyFill="1" applyBorder="1" applyAlignment="1">
      <alignment horizontal="left" vertical="top" wrapText="1"/>
    </xf>
    <xf numFmtId="0" fontId="21" fillId="0" borderId="5" xfId="0" applyFont="1" applyBorder="1" applyAlignment="1">
      <alignment horizontal="center" vertical="top"/>
    </xf>
    <xf numFmtId="0" fontId="21" fillId="3" borderId="5" xfId="0" applyFont="1" applyFill="1" applyBorder="1" applyAlignment="1">
      <alignment horizontal="left" vertical="top"/>
    </xf>
    <xf numFmtId="0" fontId="21" fillId="3" borderId="5" xfId="0" applyFont="1" applyFill="1" applyBorder="1" applyAlignment="1">
      <alignment horizontal="center" vertical="top"/>
    </xf>
    <xf numFmtId="166" fontId="21" fillId="0" borderId="5" xfId="0" applyNumberFormat="1" applyFont="1" applyBorder="1" applyAlignment="1">
      <alignment horizontal="center" vertical="top"/>
    </xf>
    <xf numFmtId="0" fontId="0" fillId="0" borderId="5" xfId="0" applyBorder="1" applyAlignment="1">
      <alignment vertical="top"/>
    </xf>
    <xf numFmtId="0" fontId="21" fillId="0" borderId="5" xfId="0" applyFont="1" applyBorder="1" applyAlignment="1">
      <alignment horizontal="left" vertical="top"/>
    </xf>
    <xf numFmtId="166" fontId="0" fillId="0" borderId="5" xfId="0" applyNumberFormat="1" applyBorder="1" applyAlignment="1">
      <alignment vertical="top"/>
    </xf>
    <xf numFmtId="0" fontId="0" fillId="3" borderId="8" xfId="0" applyFill="1" applyBorder="1" applyAlignment="1">
      <alignment vertical="top"/>
    </xf>
    <xf numFmtId="0" fontId="0" fillId="10" borderId="8" xfId="0" applyFill="1" applyBorder="1" applyAlignment="1">
      <alignment vertical="top"/>
    </xf>
    <xf numFmtId="0" fontId="18" fillId="3" borderId="5" xfId="0" applyFont="1" applyFill="1" applyBorder="1" applyAlignment="1">
      <alignment horizontal="left" vertical="top" wrapText="1"/>
    </xf>
    <xf numFmtId="0" fontId="18" fillId="3" borderId="5" xfId="0" applyFont="1" applyFill="1" applyBorder="1" applyAlignment="1">
      <alignment horizontal="center" vertical="top"/>
    </xf>
    <xf numFmtId="166" fontId="15" fillId="3" borderId="5" xfId="0" applyNumberFormat="1" applyFont="1" applyFill="1" applyBorder="1" applyAlignment="1">
      <alignment vertical="top" wrapText="1"/>
    </xf>
    <xf numFmtId="0" fontId="18" fillId="10" borderId="5" xfId="0" applyFont="1" applyFill="1" applyBorder="1" applyAlignment="1">
      <alignment horizontal="left" vertical="top" wrapText="1"/>
    </xf>
    <xf numFmtId="0" fontId="18" fillId="10" borderId="5" xfId="0" applyFont="1" applyFill="1" applyBorder="1" applyAlignment="1">
      <alignment horizontal="center" vertical="top"/>
    </xf>
    <xf numFmtId="0" fontId="15" fillId="10" borderId="5" xfId="0" applyFont="1" applyFill="1" applyBorder="1" applyAlignment="1">
      <alignment horizontal="left" vertical="top" wrapText="1"/>
    </xf>
    <xf numFmtId="0" fontId="15" fillId="10" borderId="5" xfId="0" applyFont="1" applyFill="1" applyBorder="1" applyAlignment="1">
      <alignment horizontal="center" vertical="top"/>
    </xf>
    <xf numFmtId="166" fontId="15" fillId="0" borderId="5" xfId="0" applyNumberFormat="1" applyFont="1" applyBorder="1" applyAlignment="1">
      <alignment horizontal="center" vertical="top"/>
    </xf>
    <xf numFmtId="0" fontId="15" fillId="0" borderId="5" xfId="0" applyFont="1" applyBorder="1" applyAlignment="1">
      <alignment horizontal="left" vertical="top"/>
    </xf>
    <xf numFmtId="0" fontId="15" fillId="0" borderId="5" xfId="0" applyFont="1" applyBorder="1" applyAlignment="1">
      <alignment horizontal="center" vertical="top"/>
    </xf>
    <xf numFmtId="166" fontId="15" fillId="10" borderId="5" xfId="0" applyNumberFormat="1" applyFont="1" applyFill="1" applyBorder="1" applyAlignment="1">
      <alignment horizontal="center" vertical="top"/>
    </xf>
    <xf numFmtId="49" fontId="15" fillId="3" borderId="5" xfId="0" applyNumberFormat="1" applyFont="1" applyFill="1" applyBorder="1" applyAlignment="1">
      <alignment vertical="top" wrapText="1"/>
    </xf>
    <xf numFmtId="166" fontId="15" fillId="10" borderId="5" xfId="0" applyNumberFormat="1" applyFont="1" applyFill="1" applyBorder="1" applyAlignment="1">
      <alignment vertical="top" wrapText="1"/>
    </xf>
    <xf numFmtId="0" fontId="15" fillId="10" borderId="5" xfId="0" applyFont="1" applyFill="1" applyBorder="1" applyAlignment="1">
      <alignment horizontal="left" vertical="top"/>
    </xf>
    <xf numFmtId="0" fontId="27" fillId="0" borderId="5" xfId="0" applyFont="1" applyBorder="1" applyAlignment="1">
      <alignment horizontal="center" vertical="top" wrapText="1"/>
    </xf>
    <xf numFmtId="0" fontId="0" fillId="0" borderId="5" xfId="0" applyBorder="1" applyAlignment="1">
      <alignment horizontal="center" vertical="top"/>
    </xf>
    <xf numFmtId="0" fontId="12" fillId="3" borderId="5" xfId="0" applyFont="1" applyFill="1" applyBorder="1" applyAlignment="1">
      <alignment horizontal="center" vertical="top"/>
    </xf>
    <xf numFmtId="0" fontId="0" fillId="10" borderId="5" xfId="0" applyFill="1" applyBorder="1" applyAlignment="1">
      <alignment horizontal="center" vertical="top"/>
    </xf>
    <xf numFmtId="0" fontId="12" fillId="10" borderId="5" xfId="0" applyFont="1" applyFill="1" applyBorder="1" applyAlignment="1">
      <alignment horizontal="left" vertical="top" wrapText="1"/>
    </xf>
    <xf numFmtId="0" fontId="12" fillId="10" borderId="5" xfId="0" applyFont="1" applyFill="1" applyBorder="1" applyAlignment="1">
      <alignment horizontal="center" vertical="top"/>
    </xf>
    <xf numFmtId="0" fontId="12" fillId="3" borderId="5" xfId="0" applyFont="1" applyFill="1" applyBorder="1" applyAlignment="1">
      <alignment horizontal="left" vertical="top" wrapText="1"/>
    </xf>
    <xf numFmtId="0" fontId="0" fillId="0" borderId="5" xfId="0" applyBorder="1" applyAlignment="1">
      <alignment wrapText="1"/>
    </xf>
    <xf numFmtId="0" fontId="23" fillId="0" borderId="5" xfId="0" applyFont="1" applyBorder="1" applyAlignment="1">
      <alignment wrapText="1"/>
    </xf>
    <xf numFmtId="0" fontId="27" fillId="0" borderId="5" xfId="0" applyFont="1" applyBorder="1" applyAlignment="1">
      <alignment horizontal="center" vertical="top"/>
    </xf>
    <xf numFmtId="0" fontId="18" fillId="3" borderId="5" xfId="0" applyFont="1" applyFill="1" applyBorder="1" applyAlignment="1">
      <alignment horizontal="left" vertical="top"/>
    </xf>
    <xf numFmtId="0" fontId="18" fillId="0" borderId="5" xfId="0" applyFont="1" applyBorder="1" applyAlignment="1">
      <alignment horizontal="left" vertical="top"/>
    </xf>
    <xf numFmtId="0" fontId="18" fillId="0" borderId="5" xfId="0" applyFont="1" applyBorder="1" applyAlignment="1">
      <alignment horizontal="center" vertical="top"/>
    </xf>
    <xf numFmtId="0" fontId="15" fillId="0" borderId="5" xfId="0" applyFont="1" applyBorder="1" applyAlignment="1">
      <alignment horizontal="left" vertical="top" wrapText="1"/>
    </xf>
    <xf numFmtId="0" fontId="26" fillId="0" borderId="5" xfId="0" applyFont="1" applyBorder="1" applyAlignment="1">
      <alignment horizontal="center" vertical="top"/>
    </xf>
    <xf numFmtId="166" fontId="15" fillId="3" borderId="5" xfId="0" applyNumberFormat="1" applyFont="1" applyFill="1" applyBorder="1" applyAlignment="1">
      <alignment horizontal="center" vertical="top" wrapText="1"/>
    </xf>
    <xf numFmtId="49" fontId="29" fillId="3" borderId="8" xfId="0" applyNumberFormat="1" applyFont="1" applyFill="1" applyBorder="1" applyAlignment="1">
      <alignment vertical="top" wrapText="1"/>
    </xf>
    <xf numFmtId="49" fontId="15" fillId="3" borderId="8" xfId="0" applyNumberFormat="1" applyFont="1" applyFill="1" applyBorder="1" applyAlignment="1">
      <alignment vertical="top" wrapText="1"/>
    </xf>
    <xf numFmtId="166" fontId="27" fillId="3" borderId="5" xfId="0" applyNumberFormat="1" applyFont="1" applyFill="1" applyBorder="1" applyAlignment="1">
      <alignment horizontal="center" vertical="top"/>
    </xf>
    <xf numFmtId="0" fontId="9" fillId="2" borderId="3" xfId="0" applyFont="1" applyFill="1" applyBorder="1" applyAlignment="1">
      <alignment horizontal="center" vertical="top" wrapText="1"/>
    </xf>
    <xf numFmtId="0" fontId="9" fillId="2" borderId="0" xfId="0" applyFont="1" applyFill="1" applyAlignment="1">
      <alignment horizontal="center" vertical="top" wrapText="1"/>
    </xf>
    <xf numFmtId="0" fontId="1" fillId="2" borderId="0" xfId="0" applyFont="1" applyFill="1" applyAlignment="1">
      <alignment horizontal="left" vertical="top"/>
    </xf>
    <xf numFmtId="0" fontId="19" fillId="2" borderId="0" xfId="0" applyFont="1" applyFill="1" applyAlignment="1">
      <alignment horizontal="left" vertical="top"/>
    </xf>
    <xf numFmtId="0" fontId="2" fillId="2" borderId="0" xfId="0" applyFont="1" applyFill="1" applyAlignment="1">
      <alignment horizontal="left" vertical="top"/>
    </xf>
    <xf numFmtId="0" fontId="17" fillId="2" borderId="0" xfId="0" applyFont="1" applyFill="1" applyAlignment="1">
      <alignment horizontal="left" vertical="center"/>
    </xf>
    <xf numFmtId="0" fontId="4" fillId="2" borderId="0" xfId="0" applyFont="1" applyFill="1" applyAlignment="1">
      <alignment horizontal="left" vertical="center"/>
    </xf>
    <xf numFmtId="0" fontId="9" fillId="11" borderId="0" xfId="0" applyFont="1" applyFill="1" applyAlignment="1">
      <alignment horizontal="left" vertical="center"/>
    </xf>
    <xf numFmtId="0" fontId="3" fillId="12" borderId="0" xfId="0" applyFont="1" applyFill="1" applyAlignment="1">
      <alignment horizontal="left" vertical="center"/>
    </xf>
    <xf numFmtId="0" fontId="9" fillId="12" borderId="0" xfId="0" applyFont="1" applyFill="1" applyAlignment="1">
      <alignment horizontal="left" vertical="center"/>
    </xf>
    <xf numFmtId="0" fontId="3" fillId="13" borderId="0" xfId="0" applyFont="1" applyFill="1" applyAlignment="1">
      <alignment horizontal="left" vertical="center"/>
    </xf>
    <xf numFmtId="0" fontId="9" fillId="13" borderId="0" xfId="0" applyFont="1" applyFill="1" applyAlignment="1">
      <alignment horizontal="left" vertical="center"/>
    </xf>
    <xf numFmtId="0" fontId="13" fillId="5" borderId="0" xfId="0" applyFont="1" applyFill="1" applyAlignment="1">
      <alignment horizontal="left" vertical="center"/>
    </xf>
    <xf numFmtId="0" fontId="9" fillId="4" borderId="0" xfId="0" applyFont="1" applyFill="1" applyAlignment="1">
      <alignment horizontal="left" vertical="center"/>
    </xf>
    <xf numFmtId="0" fontId="3" fillId="11" borderId="0" xfId="0" applyFont="1" applyFill="1" applyAlignment="1">
      <alignment horizontal="left" vertical="center"/>
    </xf>
    <xf numFmtId="0" fontId="1" fillId="2" borderId="0" xfId="0" applyFont="1" applyFill="1" applyAlignment="1">
      <alignment horizontal="left" vertical="center"/>
    </xf>
    <xf numFmtId="0" fontId="17" fillId="14" borderId="0" xfId="0" applyFont="1" applyFill="1" applyAlignment="1">
      <alignment horizontal="center" vertical="center"/>
    </xf>
    <xf numFmtId="0" fontId="4" fillId="14" borderId="0" xfId="0" applyFont="1" applyFill="1" applyAlignment="1">
      <alignment horizontal="center" vertical="center"/>
    </xf>
    <xf numFmtId="0" fontId="19" fillId="2" borderId="0" xfId="0" applyFont="1" applyFill="1" applyAlignment="1">
      <alignment horizontal="left" vertical="center"/>
    </xf>
    <xf numFmtId="0" fontId="2" fillId="2" borderId="0" xfId="0" applyFont="1" applyFill="1" applyAlignment="1">
      <alignment horizontal="left" vertical="center"/>
    </xf>
    <xf numFmtId="0" fontId="3" fillId="4" borderId="0" xfId="0" applyFont="1" applyFill="1" applyAlignment="1">
      <alignment horizontal="left" vertical="center"/>
    </xf>
  </cellXfs>
  <cellStyles count="1">
    <cellStyle name="Normal" xfId="0" builtinId="0"/>
  </cellStyles>
  <dxfs count="21">
    <dxf>
      <fill>
        <patternFill>
          <bgColor rgb="FFFEF3C7"/>
        </patternFill>
      </fill>
    </dxf>
    <dxf>
      <fill>
        <patternFill>
          <bgColor rgb="FFDCFCE7"/>
        </patternFill>
      </fill>
    </dxf>
    <dxf>
      <font>
        <b/>
        <sz val="9"/>
        <color rgb="FF0000FF"/>
        <name val="Calibri"/>
        <charset val="1"/>
      </font>
    </dxf>
    <dxf>
      <fill>
        <patternFill>
          <bgColor rgb="FFFEF3C7"/>
        </patternFill>
      </fill>
    </dxf>
    <dxf>
      <fill>
        <patternFill>
          <bgColor rgb="FFDCFCE7"/>
        </patternFill>
      </fill>
    </dxf>
    <dxf>
      <font>
        <b/>
        <sz val="9"/>
        <color rgb="FF0000FF"/>
        <name val="Calibri"/>
        <charset val="1"/>
      </font>
    </dxf>
    <dxf>
      <fill>
        <patternFill>
          <bgColor rgb="FFFEF3C7"/>
        </patternFill>
      </fill>
    </dxf>
    <dxf>
      <fill>
        <patternFill>
          <bgColor rgb="FFDCFCE7"/>
        </patternFill>
      </fill>
    </dxf>
    <dxf>
      <font>
        <b/>
        <sz val="9"/>
        <color rgb="FF0000FF"/>
        <name val="Calibri"/>
        <charset val="1"/>
      </font>
    </dxf>
    <dxf>
      <fill>
        <patternFill>
          <bgColor rgb="FFFEF3C7"/>
        </patternFill>
      </fill>
    </dxf>
    <dxf>
      <fill>
        <patternFill>
          <bgColor rgb="FFDCFCE7"/>
        </patternFill>
      </fill>
    </dxf>
    <dxf>
      <font>
        <b/>
        <sz val="9"/>
        <color rgb="FF0000FF"/>
        <name val="Calibri"/>
        <charset val="1"/>
      </font>
    </dxf>
    <dxf>
      <fill>
        <patternFill>
          <bgColor rgb="FFFEF3C7"/>
        </patternFill>
      </fill>
    </dxf>
    <dxf>
      <fill>
        <patternFill>
          <bgColor rgb="FFDCFCE7"/>
        </patternFill>
      </fill>
    </dxf>
    <dxf>
      <font>
        <b/>
        <sz val="9"/>
        <color rgb="FF0000FF"/>
        <name val="Calibri"/>
        <charset val="1"/>
      </font>
    </dxf>
    <dxf>
      <font>
        <b/>
        <sz val="9"/>
        <color rgb="FF166534"/>
        <name val="Calibri"/>
        <charset val="1"/>
      </font>
      <fill>
        <patternFill>
          <bgColor rgb="FFDCFCE7"/>
        </patternFill>
      </fill>
    </dxf>
    <dxf>
      <font>
        <b/>
        <sz val="9"/>
        <color rgb="FF991B1B"/>
        <name val="Calibri"/>
        <charset val="1"/>
      </font>
      <fill>
        <patternFill>
          <bgColor rgb="FFFEE2E2"/>
        </patternFill>
      </fill>
    </dxf>
    <dxf>
      <font>
        <b/>
        <sz val="9"/>
        <color rgb="FF0000FF"/>
        <name val="Calibri"/>
        <charset val="1"/>
      </font>
    </dxf>
    <dxf>
      <fill>
        <patternFill>
          <bgColor rgb="FFFEF3C7"/>
        </patternFill>
      </fill>
    </dxf>
    <dxf>
      <fill>
        <patternFill>
          <bgColor rgb="FFDCFCE7"/>
        </patternFill>
      </fill>
    </dxf>
    <dxf>
      <font>
        <b/>
        <sz val="9"/>
        <color rgb="FF0000FF"/>
        <name val="Calibri"/>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D77"/>
      <rgbColor rgb="FFEDF1F5"/>
      <rgbColor rgb="FF808080"/>
      <rgbColor rgb="FF9999FF"/>
      <rgbColor rgb="FF993366"/>
      <rgbColor rgb="FFFEF3C7"/>
      <rgbColor rgb="FFDCFCE7"/>
      <rgbColor rgb="FF660066"/>
      <rgbColor rgb="FFFF8080"/>
      <rgbColor rgb="FF0066CC"/>
      <rgbColor rgb="FFD1D9E0"/>
      <rgbColor rgb="FF000080"/>
      <rgbColor rgb="FFFF00FF"/>
      <rgbColor rgb="FFFFFF00"/>
      <rgbColor rgb="FF00FFFF"/>
      <rgbColor rgb="FF800080"/>
      <rgbColor rgb="FF800000"/>
      <rgbColor rgb="FF166534"/>
      <rgbColor rgb="FF0000FF"/>
      <rgbColor rgb="FF00CCFF"/>
      <rgbColor rgb="FFE0F2F4"/>
      <rgbColor rgb="FFEBF3FA"/>
      <rgbColor rgb="FFF7F8FA"/>
      <rgbColor rgb="FF7EC8C8"/>
      <rgbColor rgb="FFF5F3FF"/>
      <rgbColor rgb="FFCC99FF"/>
      <rgbColor rgb="FFFEE2E2"/>
      <rgbColor rgb="FF3366FF"/>
      <rgbColor rgb="FF33CCCC"/>
      <rgbColor rgb="FF99CC00"/>
      <rgbColor rgb="FFFFCC00"/>
      <rgbColor rgb="FFFF9900"/>
      <rgbColor rgb="FFFF6600"/>
      <rgbColor rgb="FF666699"/>
      <rgbColor rgb="FF94A3B8"/>
      <rgbColor rgb="FF1B4F72"/>
      <rgbColor rgb="FF339966"/>
      <rgbColor rgb="FF12192B"/>
      <rgbColor rgb="FF333300"/>
      <rgbColor rgb="FF991B1B"/>
      <rgbColor rgb="FF993366"/>
      <rgbColor rgb="FF5B21B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W54"/>
  <sheetViews>
    <sheetView showGridLines="0" zoomScaleNormal="100" workbookViewId="0">
      <pane xSplit="1" ySplit="5" topLeftCell="B8" activePane="bottomRight" state="frozen"/>
      <selection pane="bottomRight" activeCell="B19" sqref="B19:C21"/>
      <selection pane="bottomLeft" activeCell="A6" sqref="A6"/>
      <selection pane="topRight" activeCell="B1" sqref="B1"/>
    </sheetView>
  </sheetViews>
  <sheetFormatPr defaultColWidth="8.5703125" defaultRowHeight="15"/>
  <cols>
    <col min="1" max="1" width="4" hidden="1" customWidth="1"/>
    <col min="2" max="2" width="48.42578125" customWidth="1"/>
    <col min="3" max="3" width="32" customWidth="1"/>
    <col min="4" max="5" width="13" customWidth="1"/>
    <col min="6" max="6" width="10" customWidth="1"/>
    <col min="7" max="7" width="16" customWidth="1"/>
    <col min="8" max="8" width="7" customWidth="1"/>
    <col min="9" max="9" width="15" customWidth="1"/>
    <col min="10" max="10" width="12" customWidth="1"/>
    <col min="11" max="11" width="18" customWidth="1"/>
    <col min="12" max="12" width="22" customWidth="1"/>
    <col min="13" max="14" width="14" customWidth="1"/>
    <col min="15" max="15" width="2" customWidth="1"/>
    <col min="16" max="16" width="27.42578125" bestFit="1" customWidth="1"/>
    <col min="17" max="19" width="12" customWidth="1"/>
    <col min="20" max="23" width="13" customWidth="1"/>
  </cols>
  <sheetData>
    <row r="1" spans="1:23" ht="31.5" customHeight="1">
      <c r="A1" s="6"/>
      <c r="B1" s="180" t="s">
        <v>0</v>
      </c>
      <c r="C1" s="180"/>
      <c r="D1" s="180"/>
      <c r="E1" s="180"/>
      <c r="F1" s="180"/>
      <c r="G1" s="180"/>
      <c r="H1" s="180"/>
      <c r="I1" s="180"/>
      <c r="J1" s="180"/>
      <c r="K1" s="6"/>
      <c r="L1" s="6"/>
      <c r="M1" s="6"/>
      <c r="N1" s="6"/>
      <c r="O1" s="6"/>
      <c r="P1" s="181" t="s">
        <v>1</v>
      </c>
      <c r="Q1" s="182"/>
      <c r="R1" s="182"/>
      <c r="S1" s="182"/>
      <c r="T1" s="182"/>
      <c r="U1" s="182"/>
      <c r="V1" s="182"/>
      <c r="W1" s="182"/>
    </row>
    <row r="2" spans="1:23" ht="24">
      <c r="A2" s="6"/>
      <c r="B2" s="183"/>
      <c r="C2" s="184"/>
      <c r="D2" s="184"/>
      <c r="E2" s="184"/>
      <c r="F2" s="184"/>
      <c r="G2" s="184"/>
      <c r="H2" s="184"/>
      <c r="I2" s="184"/>
      <c r="J2" s="184"/>
      <c r="K2" s="6"/>
      <c r="L2" s="6"/>
      <c r="M2" s="6"/>
      <c r="N2" s="6"/>
      <c r="O2" s="6"/>
      <c r="P2" s="60" t="s">
        <v>2</v>
      </c>
      <c r="Q2" s="60" t="s">
        <v>3</v>
      </c>
      <c r="R2" s="60" t="s">
        <v>4</v>
      </c>
      <c r="S2" s="60" t="s">
        <v>5</v>
      </c>
      <c r="T2" s="60" t="s">
        <v>6</v>
      </c>
      <c r="U2" s="60" t="s">
        <v>7</v>
      </c>
      <c r="V2" s="60" t="s">
        <v>8</v>
      </c>
      <c r="W2" s="60" t="s">
        <v>9</v>
      </c>
    </row>
    <row r="3" spans="1:23" ht="6" customHeight="1">
      <c r="A3" s="1"/>
      <c r="B3" s="1"/>
      <c r="C3" s="1"/>
      <c r="D3" s="1"/>
      <c r="E3" s="1"/>
      <c r="F3" s="1"/>
      <c r="G3" s="1"/>
      <c r="H3" s="1"/>
      <c r="I3" s="1"/>
      <c r="J3" s="1"/>
      <c r="K3" s="1"/>
      <c r="L3" s="1"/>
      <c r="M3" s="1"/>
      <c r="N3" s="1"/>
      <c r="O3" s="1"/>
      <c r="P3" s="1"/>
      <c r="Q3" s="1"/>
      <c r="R3" s="1"/>
      <c r="S3" s="1"/>
      <c r="T3" s="1"/>
      <c r="U3" s="1"/>
      <c r="V3" s="1"/>
      <c r="W3" s="1"/>
    </row>
    <row r="4" spans="1:23" ht="30" customHeight="1">
      <c r="A4" s="7"/>
      <c r="B4" s="7" t="s">
        <v>10</v>
      </c>
      <c r="C4" s="7" t="s">
        <v>11</v>
      </c>
      <c r="D4" s="7" t="s">
        <v>12</v>
      </c>
      <c r="E4" s="7" t="s">
        <v>13</v>
      </c>
      <c r="F4" s="7" t="s">
        <v>14</v>
      </c>
      <c r="G4" s="7" t="s">
        <v>15</v>
      </c>
      <c r="H4" s="7" t="s">
        <v>16</v>
      </c>
      <c r="I4" s="7" t="s">
        <v>17</v>
      </c>
      <c r="J4" s="7" t="s">
        <v>18</v>
      </c>
      <c r="K4" s="7" t="s">
        <v>19</v>
      </c>
      <c r="L4" s="7" t="s">
        <v>20</v>
      </c>
      <c r="M4" s="7" t="s">
        <v>8</v>
      </c>
      <c r="N4" s="7" t="s">
        <v>9</v>
      </c>
      <c r="O4" s="1"/>
      <c r="P4" s="61" t="s">
        <v>2</v>
      </c>
      <c r="Q4" s="61" t="s">
        <v>3</v>
      </c>
      <c r="R4" s="61" t="s">
        <v>21</v>
      </c>
      <c r="S4" s="61" t="s">
        <v>22</v>
      </c>
      <c r="T4" s="61" t="s">
        <v>6</v>
      </c>
      <c r="U4" s="61" t="s">
        <v>7</v>
      </c>
      <c r="V4" s="61" t="s">
        <v>8</v>
      </c>
      <c r="W4" s="61" t="s">
        <v>23</v>
      </c>
    </row>
    <row r="5" spans="1:23" ht="19.5" customHeight="1">
      <c r="A5" s="8"/>
      <c r="B5" s="185" t="s">
        <v>24</v>
      </c>
      <c r="C5" s="185"/>
      <c r="D5" s="185"/>
      <c r="E5" s="185"/>
      <c r="F5" s="185"/>
      <c r="G5" s="185"/>
      <c r="H5" s="185"/>
      <c r="I5" s="185"/>
      <c r="J5" s="9">
        <v>0</v>
      </c>
      <c r="K5" s="8"/>
      <c r="L5" s="8"/>
      <c r="M5" s="8"/>
      <c r="N5" s="8"/>
      <c r="O5" s="1"/>
      <c r="P5" s="2" t="s">
        <v>24</v>
      </c>
      <c r="Q5" s="45">
        <v>1.7</v>
      </c>
      <c r="R5" s="45">
        <f>SUM(J6:J15)</f>
        <v>1.7</v>
      </c>
      <c r="S5" s="45">
        <f>SUMIF(E6:E15,"Approved",J6:J15)</f>
        <v>1.7</v>
      </c>
      <c r="T5" s="10">
        <f>R5-Q5</f>
        <v>0</v>
      </c>
      <c r="U5" s="10">
        <f>S5-Q5</f>
        <v>0</v>
      </c>
      <c r="V5" s="10">
        <f>SUM(M6:M15)</f>
        <v>0</v>
      </c>
      <c r="W5" s="11">
        <f>SUM(N6:N15)</f>
        <v>0</v>
      </c>
    </row>
    <row r="6" spans="1:23" ht="15.75" customHeight="1">
      <c r="A6" s="12">
        <v>1</v>
      </c>
      <c r="B6" s="50" t="s">
        <v>25</v>
      </c>
      <c r="C6" s="51"/>
      <c r="D6" s="55"/>
      <c r="E6" s="55" t="s">
        <v>26</v>
      </c>
      <c r="F6" s="15"/>
      <c r="G6" s="13"/>
      <c r="H6" s="55" t="s">
        <v>27</v>
      </c>
      <c r="I6" s="15"/>
      <c r="J6" s="56">
        <v>1.7</v>
      </c>
      <c r="K6" s="15"/>
      <c r="L6" s="14"/>
      <c r="M6" s="16"/>
      <c r="N6" s="17"/>
      <c r="O6" s="1"/>
      <c r="P6" s="177" t="s">
        <v>28</v>
      </c>
      <c r="Q6" s="177"/>
      <c r="R6" s="177"/>
      <c r="S6" s="177"/>
      <c r="T6" s="177"/>
      <c r="U6" s="177"/>
      <c r="V6" s="177"/>
      <c r="W6" s="177"/>
    </row>
    <row r="7" spans="1:23" ht="19.5" customHeight="1">
      <c r="A7" s="1">
        <v>2</v>
      </c>
      <c r="B7" s="18"/>
      <c r="C7" s="19"/>
      <c r="D7" s="20"/>
      <c r="E7" s="20"/>
      <c r="F7" s="20"/>
      <c r="G7" s="18"/>
      <c r="H7" s="20"/>
      <c r="I7" s="20"/>
      <c r="J7" s="21"/>
      <c r="K7" s="20"/>
      <c r="L7" s="19"/>
      <c r="M7" s="21"/>
      <c r="N7" s="22"/>
      <c r="O7" s="1"/>
      <c r="P7" s="3" t="s">
        <v>29</v>
      </c>
      <c r="Q7" s="44">
        <v>10.6</v>
      </c>
      <c r="R7" s="44">
        <f>SUM(J19:J28)</f>
        <v>10.600000000000001</v>
      </c>
      <c r="S7" s="44">
        <f>SUMIF(E19:E28,"Approved",J19:J28)</f>
        <v>10.600000000000001</v>
      </c>
      <c r="T7" s="23">
        <f>R7-Q7</f>
        <v>0</v>
      </c>
      <c r="U7" s="23">
        <f>S7-Q7</f>
        <v>0</v>
      </c>
      <c r="V7" s="23">
        <f>SUM(M19:M28)</f>
        <v>0</v>
      </c>
      <c r="W7" s="24">
        <f>SUM(N19:N28)</f>
        <v>0</v>
      </c>
    </row>
    <row r="8" spans="1:23" ht="15.75" customHeight="1">
      <c r="A8" s="12">
        <v>3</v>
      </c>
      <c r="B8" s="13"/>
      <c r="C8" s="14"/>
      <c r="D8" s="15"/>
      <c r="E8" s="15"/>
      <c r="F8" s="15"/>
      <c r="G8" s="13"/>
      <c r="H8" s="15"/>
      <c r="I8" s="15"/>
      <c r="J8" s="16"/>
      <c r="K8" s="15"/>
      <c r="L8" s="14"/>
      <c r="M8" s="16"/>
      <c r="N8" s="17"/>
      <c r="O8" s="1"/>
      <c r="P8" s="177" t="s">
        <v>28</v>
      </c>
      <c r="Q8" s="177"/>
      <c r="R8" s="177"/>
      <c r="S8" s="177"/>
      <c r="T8" s="177"/>
      <c r="U8" s="177"/>
      <c r="V8" s="177"/>
      <c r="W8" s="177"/>
    </row>
    <row r="9" spans="1:23" ht="19.5" customHeight="1">
      <c r="A9" s="1">
        <v>4</v>
      </c>
      <c r="B9" s="18"/>
      <c r="C9" s="19"/>
      <c r="D9" s="20"/>
      <c r="E9" s="20"/>
      <c r="F9" s="20"/>
      <c r="G9" s="18"/>
      <c r="H9" s="20"/>
      <c r="I9" s="20"/>
      <c r="J9" s="21"/>
      <c r="K9" s="20"/>
      <c r="L9" s="19"/>
      <c r="M9" s="21"/>
      <c r="N9" s="22"/>
      <c r="O9" s="1"/>
      <c r="P9" s="4" t="s">
        <v>30</v>
      </c>
      <c r="Q9" s="46">
        <v>5</v>
      </c>
      <c r="R9" s="46">
        <f>SUM(J32:J38)</f>
        <v>5</v>
      </c>
      <c r="S9" s="46">
        <f>SUMIF(E32:E38,"Approved",J32:J38)</f>
        <v>5</v>
      </c>
      <c r="T9" s="25">
        <f>R9-Q9</f>
        <v>0</v>
      </c>
      <c r="U9" s="25">
        <f>S9-Q9</f>
        <v>0</v>
      </c>
      <c r="V9" s="25">
        <f>SUM(M32:M38)</f>
        <v>0</v>
      </c>
      <c r="W9" s="26">
        <f>SUM(N32:N38)</f>
        <v>0</v>
      </c>
    </row>
    <row r="10" spans="1:23" ht="15.75" customHeight="1">
      <c r="A10" s="12">
        <v>5</v>
      </c>
      <c r="B10" s="13"/>
      <c r="C10" s="14"/>
      <c r="D10" s="15"/>
      <c r="E10" s="15"/>
      <c r="F10" s="15"/>
      <c r="G10" s="13"/>
      <c r="H10" s="15"/>
      <c r="I10" s="15"/>
      <c r="J10" s="16"/>
      <c r="K10" s="15"/>
      <c r="L10" s="14"/>
      <c r="M10" s="16"/>
      <c r="N10" s="17"/>
      <c r="O10" s="1"/>
      <c r="P10" s="177" t="s">
        <v>28</v>
      </c>
      <c r="Q10" s="177"/>
      <c r="R10" s="177"/>
      <c r="S10" s="177"/>
      <c r="T10" s="177"/>
      <c r="U10" s="177"/>
      <c r="V10" s="177"/>
      <c r="W10" s="177"/>
    </row>
    <row r="11" spans="1:23" ht="19.5" customHeight="1">
      <c r="A11" s="1">
        <v>6</v>
      </c>
      <c r="B11" s="18"/>
      <c r="C11" s="19"/>
      <c r="D11" s="20"/>
      <c r="E11" s="20"/>
      <c r="F11" s="20"/>
      <c r="G11" s="18"/>
      <c r="H11" s="20"/>
      <c r="I11" s="20"/>
      <c r="J11" s="21"/>
      <c r="K11" s="20"/>
      <c r="L11" s="19"/>
      <c r="M11" s="21"/>
      <c r="N11" s="22"/>
      <c r="O11" s="1"/>
      <c r="P11" s="5" t="s">
        <v>31</v>
      </c>
      <c r="Q11" s="70">
        <v>1.75</v>
      </c>
      <c r="R11" s="70">
        <f>SUM(J42:J51)</f>
        <v>1.7449999999999999</v>
      </c>
      <c r="S11" s="70">
        <f>SUMIF(E42:E51,"Approved",J42:J51)</f>
        <v>1.7449999999999999</v>
      </c>
      <c r="T11" s="27">
        <f>R11-Q11</f>
        <v>-5.0000000000001155E-3</v>
      </c>
      <c r="U11" s="27">
        <f>S11-Q11</f>
        <v>-5.0000000000001155E-3</v>
      </c>
      <c r="V11" s="27">
        <f>SUM(M42:M51)</f>
        <v>0</v>
      </c>
      <c r="W11" s="28">
        <f>SUM(N42:N51)</f>
        <v>0</v>
      </c>
    </row>
    <row r="12" spans="1:23" ht="15.75" customHeight="1">
      <c r="A12" s="12">
        <v>7</v>
      </c>
      <c r="B12" s="13"/>
      <c r="C12" s="14"/>
      <c r="D12" s="15"/>
      <c r="E12" s="15"/>
      <c r="F12" s="15"/>
      <c r="G12" s="13"/>
      <c r="H12" s="15"/>
      <c r="I12" s="15"/>
      <c r="J12" s="16"/>
      <c r="K12" s="15"/>
      <c r="L12" s="14"/>
      <c r="M12" s="16"/>
      <c r="N12" s="17"/>
      <c r="O12" s="1"/>
      <c r="P12" s="177" t="s">
        <v>28</v>
      </c>
      <c r="Q12" s="177"/>
      <c r="R12" s="177"/>
      <c r="S12" s="177"/>
      <c r="T12" s="177"/>
      <c r="U12" s="177"/>
      <c r="V12" s="177"/>
      <c r="W12" s="177"/>
    </row>
    <row r="13" spans="1:23" ht="18" customHeight="1">
      <c r="A13" s="1">
        <v>8</v>
      </c>
      <c r="B13" s="18"/>
      <c r="C13" s="19"/>
      <c r="D13" s="20"/>
      <c r="E13" s="20"/>
      <c r="F13" s="20"/>
      <c r="G13" s="18"/>
      <c r="H13" s="20"/>
      <c r="I13" s="20"/>
      <c r="J13" s="21"/>
      <c r="K13" s="20"/>
      <c r="L13" s="19"/>
      <c r="M13" s="21"/>
      <c r="N13" s="22"/>
      <c r="O13" s="1"/>
      <c r="P13" s="1"/>
      <c r="Q13" s="1"/>
      <c r="R13" s="1"/>
      <c r="S13" s="1"/>
      <c r="T13" s="1"/>
      <c r="U13" s="1"/>
      <c r="V13" s="1"/>
      <c r="W13" s="1"/>
    </row>
    <row r="14" spans="1:23" ht="24" customHeight="1">
      <c r="A14" s="12">
        <v>9</v>
      </c>
      <c r="B14" s="13"/>
      <c r="C14" s="14"/>
      <c r="D14" s="15"/>
      <c r="E14" s="15"/>
      <c r="F14" s="15"/>
      <c r="G14" s="13"/>
      <c r="H14" s="15"/>
      <c r="I14" s="15"/>
      <c r="J14" s="16"/>
      <c r="K14" s="15"/>
      <c r="L14" s="14"/>
      <c r="M14" s="16"/>
      <c r="N14" s="17"/>
      <c r="O14" s="1"/>
      <c r="P14" s="62" t="s">
        <v>32</v>
      </c>
      <c r="Q14" s="65">
        <f>Q5+Q7+Q9+Q11</f>
        <v>19.049999999999997</v>
      </c>
      <c r="R14" s="65">
        <f>R5+R7+R9+R11</f>
        <v>19.045000000000002</v>
      </c>
      <c r="S14" s="65">
        <f>S5+S7+S9+S11</f>
        <v>19.045000000000002</v>
      </c>
      <c r="T14" s="47">
        <f>R14-Q14</f>
        <v>-4.9999999999954525E-3</v>
      </c>
      <c r="U14" s="47">
        <f>S14-Q14</f>
        <v>-4.9999999999954525E-3</v>
      </c>
      <c r="V14" s="63">
        <f>V5+V7+V9+V11</f>
        <v>0</v>
      </c>
      <c r="W14" s="64">
        <f>W5+W7+W9+W11</f>
        <v>0</v>
      </c>
    </row>
    <row r="15" spans="1:23" ht="18" customHeight="1">
      <c r="A15" s="1">
        <v>10</v>
      </c>
      <c r="B15" s="18"/>
      <c r="C15" s="19"/>
      <c r="D15" s="20"/>
      <c r="E15" s="20"/>
      <c r="F15" s="20"/>
      <c r="G15" s="18"/>
      <c r="H15" s="20"/>
      <c r="I15" s="20"/>
      <c r="J15" s="21"/>
      <c r="K15" s="20"/>
      <c r="L15" s="19"/>
      <c r="M15" s="21"/>
      <c r="N15" s="22"/>
      <c r="O15" s="1"/>
      <c r="P15" s="1"/>
      <c r="Q15" s="1"/>
      <c r="R15" s="1"/>
      <c r="S15" s="1"/>
      <c r="T15" s="1"/>
      <c r="U15" s="1"/>
      <c r="V15" s="1"/>
      <c r="W15" s="1"/>
    </row>
    <row r="16" spans="1:23" ht="19.5" customHeight="1">
      <c r="A16" s="8"/>
      <c r="B16" s="178" t="s">
        <v>33</v>
      </c>
      <c r="C16" s="178"/>
      <c r="D16" s="178"/>
      <c r="E16" s="178"/>
      <c r="F16" s="178"/>
      <c r="G16" s="178"/>
      <c r="H16" s="178"/>
      <c r="I16" s="178"/>
      <c r="J16" s="49">
        <f>SUM(J6:J15)</f>
        <v>1.7</v>
      </c>
      <c r="K16" s="8"/>
      <c r="L16" s="8"/>
      <c r="M16" s="29">
        <f>SUM(M6:M15)</f>
        <v>0</v>
      </c>
      <c r="N16" s="30">
        <f>SUM(N6:N15)</f>
        <v>0</v>
      </c>
      <c r="O16" s="8"/>
      <c r="P16" s="8"/>
      <c r="Q16" s="8"/>
      <c r="R16" s="8"/>
      <c r="S16" s="8"/>
      <c r="T16" s="8"/>
      <c r="U16" s="8"/>
      <c r="V16" s="8"/>
      <c r="W16" s="8"/>
    </row>
    <row r="17" spans="1:23" ht="6" customHeight="1">
      <c r="A17" s="1"/>
      <c r="B17" s="1"/>
      <c r="C17" s="1"/>
      <c r="D17" s="1"/>
      <c r="E17" s="1"/>
      <c r="F17" s="1"/>
      <c r="G17" s="1"/>
      <c r="H17" s="1"/>
      <c r="I17" s="1"/>
      <c r="J17" s="1"/>
      <c r="K17" s="1"/>
      <c r="L17" s="1"/>
      <c r="M17" s="1"/>
      <c r="N17" s="1"/>
      <c r="O17" s="1"/>
      <c r="P17" s="1"/>
      <c r="Q17" s="1"/>
    </row>
    <row r="18" spans="1:23" ht="21.75" customHeight="1">
      <c r="A18" s="31"/>
      <c r="B18" s="179" t="s">
        <v>29</v>
      </c>
      <c r="C18" s="179"/>
      <c r="D18" s="179"/>
      <c r="E18" s="179"/>
      <c r="F18" s="179"/>
      <c r="G18" s="179"/>
      <c r="H18" s="179"/>
      <c r="I18" s="179"/>
      <c r="J18" s="32">
        <v>0</v>
      </c>
      <c r="K18" s="31"/>
      <c r="L18" s="31"/>
      <c r="M18" s="31"/>
      <c r="N18" s="31"/>
      <c r="O18" s="31"/>
      <c r="P18" s="31"/>
      <c r="Q18" s="31"/>
      <c r="R18" s="31"/>
      <c r="S18" s="31"/>
      <c r="T18" s="31"/>
      <c r="U18" s="31"/>
      <c r="V18" s="31"/>
      <c r="W18" s="31"/>
    </row>
    <row r="19" spans="1:23">
      <c r="A19" s="12">
        <v>1</v>
      </c>
      <c r="B19" s="51" t="s">
        <v>34</v>
      </c>
      <c r="C19" s="51" t="s">
        <v>35</v>
      </c>
      <c r="D19" s="55" t="s">
        <v>36</v>
      </c>
      <c r="E19" s="55" t="s">
        <v>26</v>
      </c>
      <c r="F19" s="55"/>
      <c r="G19" s="50"/>
      <c r="H19" s="55" t="s">
        <v>37</v>
      </c>
      <c r="I19" s="55"/>
      <c r="J19" s="56">
        <v>6.2</v>
      </c>
      <c r="K19" s="15"/>
      <c r="L19" s="14"/>
      <c r="M19" s="16"/>
      <c r="N19" s="17"/>
      <c r="O19" s="12"/>
      <c r="P19" s="12"/>
      <c r="Q19" s="12"/>
      <c r="R19" s="12"/>
      <c r="S19" s="12"/>
      <c r="T19" s="12"/>
      <c r="U19" s="12"/>
      <c r="V19" s="12"/>
      <c r="W19" s="12"/>
    </row>
    <row r="20" spans="1:23" ht="18" customHeight="1">
      <c r="A20" s="1">
        <v>2</v>
      </c>
      <c r="B20" s="52" t="s">
        <v>38</v>
      </c>
      <c r="C20" s="53" t="s">
        <v>39</v>
      </c>
      <c r="D20" s="57" t="s">
        <v>36</v>
      </c>
      <c r="E20" s="57" t="s">
        <v>40</v>
      </c>
      <c r="F20" s="57"/>
      <c r="G20" s="52"/>
      <c r="H20" s="57"/>
      <c r="I20" s="57"/>
      <c r="J20" s="58">
        <v>0</v>
      </c>
      <c r="K20" s="20"/>
      <c r="L20" s="19"/>
      <c r="M20" s="21"/>
      <c r="N20" s="22"/>
      <c r="O20" s="1"/>
      <c r="P20" s="1"/>
      <c r="Q20" s="1"/>
      <c r="R20" s="1"/>
      <c r="S20" s="1"/>
      <c r="T20" s="1"/>
      <c r="U20" s="1"/>
      <c r="V20" s="1"/>
      <c r="W20" s="1"/>
    </row>
    <row r="21" spans="1:23" ht="36">
      <c r="A21" s="12">
        <v>3</v>
      </c>
      <c r="B21" s="50" t="s">
        <v>41</v>
      </c>
      <c r="C21" s="51" t="s">
        <v>42</v>
      </c>
      <c r="D21" s="55" t="s">
        <v>43</v>
      </c>
      <c r="E21" s="55" t="s">
        <v>26</v>
      </c>
      <c r="F21" s="55"/>
      <c r="G21" s="50"/>
      <c r="H21" s="55"/>
      <c r="I21" s="55"/>
      <c r="J21" s="56">
        <v>1.3</v>
      </c>
      <c r="K21" s="15"/>
      <c r="L21" s="14"/>
      <c r="M21" s="16"/>
      <c r="N21" s="17"/>
      <c r="O21" s="12"/>
      <c r="P21" s="12"/>
      <c r="Q21" s="12"/>
      <c r="R21" s="12"/>
      <c r="S21" s="12"/>
      <c r="T21" s="12"/>
      <c r="U21" s="12"/>
      <c r="V21" s="12"/>
      <c r="W21" s="12"/>
    </row>
    <row r="22" spans="1:23" ht="108">
      <c r="A22" s="1">
        <v>4</v>
      </c>
      <c r="B22" s="52" t="s">
        <v>44</v>
      </c>
      <c r="C22" s="53" t="s">
        <v>45</v>
      </c>
      <c r="D22" s="57" t="s">
        <v>43</v>
      </c>
      <c r="E22" s="57" t="s">
        <v>26</v>
      </c>
      <c r="F22" s="57"/>
      <c r="G22" s="52"/>
      <c r="H22" s="57"/>
      <c r="I22" s="57"/>
      <c r="J22" s="58">
        <v>1</v>
      </c>
      <c r="K22" s="20"/>
      <c r="L22" s="19"/>
      <c r="M22" s="21"/>
      <c r="N22" s="22"/>
      <c r="O22" s="1"/>
      <c r="P22" s="1"/>
      <c r="Q22" s="1"/>
      <c r="R22" s="1"/>
      <c r="S22" s="1"/>
      <c r="T22" s="1"/>
      <c r="U22" s="1"/>
      <c r="V22" s="1"/>
      <c r="W22" s="1"/>
    </row>
    <row r="23" spans="1:23" ht="24">
      <c r="A23" s="12">
        <v>5</v>
      </c>
      <c r="B23" s="50" t="s">
        <v>46</v>
      </c>
      <c r="C23" s="51" t="s">
        <v>47</v>
      </c>
      <c r="D23" s="55" t="s">
        <v>43</v>
      </c>
      <c r="E23" s="55" t="s">
        <v>26</v>
      </c>
      <c r="F23" s="55"/>
      <c r="G23" s="50"/>
      <c r="H23" s="55"/>
      <c r="I23" s="55"/>
      <c r="J23" s="56">
        <v>0.5</v>
      </c>
      <c r="K23" s="15"/>
      <c r="L23" s="14"/>
      <c r="M23" s="16"/>
      <c r="N23" s="17"/>
      <c r="O23" s="12"/>
      <c r="P23" s="12"/>
      <c r="Q23" s="12"/>
      <c r="R23" s="12"/>
      <c r="S23" s="12"/>
      <c r="T23" s="12"/>
      <c r="U23" s="12"/>
      <c r="V23" s="12"/>
      <c r="W23" s="12"/>
    </row>
    <row r="24" spans="1:23">
      <c r="A24" s="1">
        <v>6</v>
      </c>
      <c r="B24" s="52" t="s">
        <v>48</v>
      </c>
      <c r="C24" s="53" t="s">
        <v>49</v>
      </c>
      <c r="D24" s="57" t="s">
        <v>43</v>
      </c>
      <c r="E24" s="57" t="s">
        <v>26</v>
      </c>
      <c r="F24" s="57"/>
      <c r="G24" s="52"/>
      <c r="H24" s="57"/>
      <c r="I24" s="57"/>
      <c r="J24" s="58">
        <v>0.8</v>
      </c>
      <c r="K24" s="20"/>
      <c r="L24" s="19"/>
      <c r="M24" s="21"/>
      <c r="N24" s="22"/>
      <c r="O24" s="1"/>
      <c r="P24" s="1"/>
      <c r="Q24" s="1"/>
      <c r="R24" s="1"/>
      <c r="S24" s="1"/>
      <c r="T24" s="1"/>
      <c r="U24" s="1"/>
      <c r="V24" s="1"/>
      <c r="W24" s="1"/>
    </row>
    <row r="25" spans="1:23" ht="24">
      <c r="A25" s="12">
        <v>7</v>
      </c>
      <c r="B25" s="50" t="s">
        <v>50</v>
      </c>
      <c r="C25" s="51" t="s">
        <v>51</v>
      </c>
      <c r="D25" s="55" t="s">
        <v>43</v>
      </c>
      <c r="E25" s="55" t="s">
        <v>26</v>
      </c>
      <c r="F25" s="55"/>
      <c r="G25" s="50"/>
      <c r="H25" s="55"/>
      <c r="I25" s="55"/>
      <c r="J25" s="56">
        <v>0.8</v>
      </c>
      <c r="K25" s="15"/>
      <c r="L25" s="14"/>
      <c r="M25" s="16"/>
      <c r="N25" s="17"/>
      <c r="O25" s="12"/>
      <c r="P25" s="12"/>
      <c r="Q25" s="12"/>
      <c r="R25" s="12"/>
      <c r="S25" s="12"/>
      <c r="T25" s="12"/>
      <c r="U25" s="12"/>
      <c r="V25" s="12"/>
      <c r="W25" s="12"/>
    </row>
    <row r="26" spans="1:23" ht="24">
      <c r="A26" s="1">
        <v>8</v>
      </c>
      <c r="B26" s="52" t="s">
        <v>52</v>
      </c>
      <c r="C26" s="53" t="s">
        <v>53</v>
      </c>
      <c r="D26" s="57" t="s">
        <v>43</v>
      </c>
      <c r="E26" s="57" t="s">
        <v>40</v>
      </c>
      <c r="F26" s="57"/>
      <c r="G26" s="52"/>
      <c r="H26" s="57"/>
      <c r="I26" s="57"/>
      <c r="J26" s="59">
        <v>0</v>
      </c>
      <c r="K26" s="20"/>
      <c r="L26" s="19"/>
      <c r="M26" s="21"/>
      <c r="N26" s="22"/>
      <c r="O26" s="1"/>
      <c r="P26" s="1"/>
      <c r="Q26" s="1"/>
      <c r="R26" s="1"/>
      <c r="S26" s="1"/>
      <c r="T26" s="1"/>
      <c r="U26" s="1"/>
      <c r="V26" s="1"/>
      <c r="W26" s="1"/>
    </row>
    <row r="27" spans="1:23">
      <c r="A27" s="12">
        <v>9</v>
      </c>
      <c r="B27" s="50"/>
      <c r="C27" s="51"/>
      <c r="D27" s="15"/>
      <c r="E27" s="15"/>
      <c r="F27" s="15"/>
      <c r="G27" s="13"/>
      <c r="H27" s="15"/>
      <c r="I27" s="15"/>
      <c r="J27" s="16"/>
      <c r="K27" s="15"/>
      <c r="L27" s="14"/>
      <c r="M27" s="16"/>
      <c r="N27" s="17"/>
      <c r="O27" s="12"/>
      <c r="P27" s="12"/>
      <c r="Q27" s="12"/>
      <c r="R27" s="12"/>
      <c r="S27" s="12"/>
      <c r="T27" s="12"/>
      <c r="U27" s="12"/>
      <c r="V27" s="12"/>
      <c r="W27" s="12"/>
    </row>
    <row r="28" spans="1:23" ht="18" customHeight="1">
      <c r="A28" s="1">
        <v>10</v>
      </c>
      <c r="B28" s="18"/>
      <c r="C28" s="19"/>
      <c r="D28" s="20"/>
      <c r="E28" s="20"/>
      <c r="F28" s="20"/>
      <c r="G28" s="18"/>
      <c r="H28" s="20"/>
      <c r="I28" s="20"/>
      <c r="J28" s="21"/>
      <c r="K28" s="20"/>
      <c r="L28" s="19"/>
      <c r="M28" s="21"/>
      <c r="N28" s="22"/>
      <c r="O28" s="1"/>
      <c r="P28" s="1"/>
      <c r="Q28" s="1"/>
      <c r="R28" s="1"/>
      <c r="S28" s="1"/>
      <c r="T28" s="1"/>
      <c r="U28" s="1"/>
      <c r="V28" s="1"/>
      <c r="W28" s="1"/>
    </row>
    <row r="29" spans="1:23" ht="19.5" customHeight="1">
      <c r="A29" s="31"/>
      <c r="B29" s="172" t="s">
        <v>54</v>
      </c>
      <c r="C29" s="172"/>
      <c r="D29" s="172"/>
      <c r="E29" s="172"/>
      <c r="F29" s="172"/>
      <c r="G29" s="172"/>
      <c r="H29" s="172"/>
      <c r="I29" s="172"/>
      <c r="J29" s="43">
        <f>SUM(J19:J28)</f>
        <v>10.600000000000001</v>
      </c>
      <c r="K29" s="31"/>
      <c r="L29" s="31"/>
      <c r="M29" s="33">
        <f>SUM(M19:M28)</f>
        <v>0</v>
      </c>
      <c r="N29" s="34">
        <f>SUM(N19:N28)</f>
        <v>0</v>
      </c>
      <c r="O29" s="31"/>
      <c r="P29" s="31"/>
      <c r="Q29" s="31"/>
      <c r="R29" s="31"/>
      <c r="S29" s="31"/>
      <c r="T29" s="31"/>
      <c r="U29" s="31"/>
      <c r="V29" s="31"/>
      <c r="W29" s="31"/>
    </row>
    <row r="30" spans="1:23" ht="6" customHeight="1">
      <c r="A30" s="1"/>
      <c r="B30" s="1"/>
      <c r="C30" s="1"/>
      <c r="D30" s="1"/>
      <c r="E30" s="1"/>
      <c r="F30" s="1"/>
      <c r="G30" s="1"/>
      <c r="H30" s="1"/>
      <c r="I30" s="1"/>
      <c r="J30" s="1"/>
      <c r="K30" s="1"/>
      <c r="L30" s="1"/>
      <c r="M30" s="1"/>
      <c r="N30" s="1"/>
      <c r="O30" s="1"/>
      <c r="P30" s="1"/>
      <c r="Q30" s="1"/>
    </row>
    <row r="31" spans="1:23" ht="21.75" customHeight="1">
      <c r="A31" s="35"/>
      <c r="B31" s="173" t="s">
        <v>30</v>
      </c>
      <c r="C31" s="173"/>
      <c r="D31" s="173"/>
      <c r="E31" s="173"/>
      <c r="F31" s="173"/>
      <c r="G31" s="173"/>
      <c r="H31" s="173"/>
      <c r="I31" s="173"/>
      <c r="J31" s="36">
        <v>0</v>
      </c>
      <c r="K31" s="35"/>
      <c r="L31" s="35"/>
      <c r="M31" s="35"/>
      <c r="N31" s="35"/>
      <c r="O31" s="35"/>
      <c r="P31" s="35"/>
      <c r="Q31" s="35"/>
      <c r="R31" s="35"/>
      <c r="S31" s="35"/>
      <c r="T31" s="35"/>
      <c r="U31" s="35"/>
      <c r="V31" s="35"/>
      <c r="W31" s="35"/>
    </row>
    <row r="32" spans="1:23" ht="18" customHeight="1">
      <c r="A32" s="12">
        <v>1</v>
      </c>
      <c r="B32" s="50" t="s">
        <v>55</v>
      </c>
      <c r="C32" s="51"/>
      <c r="D32" s="55" t="s">
        <v>36</v>
      </c>
      <c r="E32" s="55" t="s">
        <v>26</v>
      </c>
      <c r="F32" s="55"/>
      <c r="G32" s="50"/>
      <c r="H32" s="55"/>
      <c r="I32" s="55"/>
      <c r="J32" s="56">
        <v>1</v>
      </c>
      <c r="K32" s="15"/>
      <c r="L32" s="14"/>
      <c r="M32" s="16"/>
      <c r="N32" s="17"/>
      <c r="O32" s="12"/>
      <c r="P32" s="12"/>
      <c r="Q32" s="12"/>
      <c r="R32" s="12"/>
      <c r="S32" s="12"/>
      <c r="T32" s="12"/>
      <c r="U32" s="12"/>
      <c r="V32" s="12"/>
      <c r="W32" s="12"/>
    </row>
    <row r="33" spans="1:23" ht="18" customHeight="1">
      <c r="A33" s="12">
        <v>5</v>
      </c>
      <c r="B33" s="50" t="s">
        <v>56</v>
      </c>
      <c r="C33" s="51"/>
      <c r="D33" s="55" t="s">
        <v>36</v>
      </c>
      <c r="E33" s="55" t="s">
        <v>26</v>
      </c>
      <c r="F33" s="55"/>
      <c r="G33" s="50"/>
      <c r="H33" s="55"/>
      <c r="I33" s="55"/>
      <c r="J33" s="56">
        <v>1</v>
      </c>
      <c r="K33" s="15"/>
      <c r="L33" s="14"/>
      <c r="M33" s="16"/>
      <c r="N33" s="17"/>
      <c r="O33" s="12"/>
      <c r="P33" s="12"/>
      <c r="Q33" s="12"/>
      <c r="R33" s="12"/>
      <c r="S33" s="12"/>
      <c r="T33" s="12"/>
      <c r="U33" s="12"/>
      <c r="V33" s="12"/>
      <c r="W33" s="12"/>
    </row>
    <row r="34" spans="1:23" ht="18" customHeight="1">
      <c r="A34" s="1">
        <v>6</v>
      </c>
      <c r="B34" s="52" t="s">
        <v>57</v>
      </c>
      <c r="C34" s="53"/>
      <c r="D34" s="57" t="s">
        <v>36</v>
      </c>
      <c r="E34" s="57" t="s">
        <v>26</v>
      </c>
      <c r="F34" s="57"/>
      <c r="G34" s="52"/>
      <c r="H34" s="57"/>
      <c r="I34" s="57"/>
      <c r="J34" s="58">
        <v>1</v>
      </c>
      <c r="K34" s="20"/>
      <c r="L34" s="19"/>
      <c r="M34" s="21"/>
      <c r="N34" s="22"/>
      <c r="O34" s="1"/>
      <c r="P34" s="1"/>
      <c r="Q34" s="1"/>
      <c r="R34" s="1"/>
      <c r="S34" s="1"/>
      <c r="T34" s="1"/>
      <c r="U34" s="1"/>
      <c r="V34" s="1"/>
      <c r="W34" s="1"/>
    </row>
    <row r="35" spans="1:23" ht="36">
      <c r="A35" s="12">
        <v>7</v>
      </c>
      <c r="B35" s="51" t="s">
        <v>58</v>
      </c>
      <c r="C35" s="51"/>
      <c r="D35" s="55" t="s">
        <v>43</v>
      </c>
      <c r="E35" s="55" t="s">
        <v>26</v>
      </c>
      <c r="F35" s="55"/>
      <c r="G35" s="50"/>
      <c r="H35" s="55"/>
      <c r="I35" s="55"/>
      <c r="J35" s="56">
        <v>1</v>
      </c>
      <c r="K35" s="15"/>
      <c r="L35" s="14"/>
      <c r="M35" s="16"/>
      <c r="N35" s="17"/>
      <c r="O35" s="12"/>
      <c r="P35" s="12"/>
      <c r="Q35" s="12"/>
      <c r="R35" s="12"/>
      <c r="S35" s="12"/>
      <c r="T35" s="12"/>
      <c r="U35" s="12"/>
      <c r="V35" s="12"/>
      <c r="W35" s="12"/>
    </row>
    <row r="36" spans="1:23">
      <c r="A36" s="1">
        <v>8</v>
      </c>
      <c r="B36" s="53" t="s">
        <v>59</v>
      </c>
      <c r="C36" s="53"/>
      <c r="D36" s="57" t="s">
        <v>43</v>
      </c>
      <c r="E36" s="57" t="s">
        <v>26</v>
      </c>
      <c r="F36" s="57"/>
      <c r="G36" s="52"/>
      <c r="H36" s="57"/>
      <c r="I36" s="57"/>
      <c r="J36" s="58">
        <v>0.5</v>
      </c>
      <c r="K36" s="20"/>
      <c r="L36" s="19"/>
      <c r="M36" s="21"/>
      <c r="N36" s="22"/>
      <c r="O36" s="1"/>
      <c r="P36" s="1"/>
      <c r="Q36" s="1"/>
      <c r="R36" s="1"/>
      <c r="S36" s="1"/>
      <c r="T36" s="1"/>
      <c r="U36" s="1"/>
      <c r="V36" s="1"/>
      <c r="W36" s="1"/>
    </row>
    <row r="37" spans="1:23" ht="18" customHeight="1">
      <c r="A37" s="12">
        <v>9</v>
      </c>
      <c r="B37" s="50" t="s">
        <v>60</v>
      </c>
      <c r="C37" s="51"/>
      <c r="D37" s="55" t="s">
        <v>36</v>
      </c>
      <c r="E37" s="55" t="s">
        <v>26</v>
      </c>
      <c r="F37" s="55"/>
      <c r="G37" s="50"/>
      <c r="H37" s="55"/>
      <c r="I37" s="55"/>
      <c r="J37" s="56">
        <v>0.5</v>
      </c>
      <c r="K37" s="15"/>
      <c r="L37" s="14"/>
      <c r="M37" s="16"/>
      <c r="N37" s="17"/>
      <c r="O37" s="12"/>
      <c r="P37" s="12"/>
      <c r="Q37" s="12"/>
      <c r="R37" s="12"/>
      <c r="S37" s="12"/>
      <c r="T37" s="12"/>
      <c r="U37" s="12"/>
      <c r="V37" s="12"/>
      <c r="W37" s="12"/>
    </row>
    <row r="38" spans="1:23" ht="18" customHeight="1">
      <c r="A38" s="1">
        <v>10</v>
      </c>
      <c r="B38" s="48"/>
      <c r="C38" s="19"/>
      <c r="D38" s="20"/>
      <c r="E38" s="20"/>
      <c r="F38" s="20"/>
      <c r="G38" s="18"/>
      <c r="H38" s="20"/>
      <c r="I38" s="20"/>
      <c r="J38" s="54"/>
      <c r="K38" s="20"/>
      <c r="L38" s="19"/>
      <c r="M38" s="21"/>
      <c r="N38" s="22"/>
      <c r="O38" s="1"/>
      <c r="P38" s="1"/>
      <c r="Q38" s="1"/>
      <c r="R38" s="1"/>
      <c r="S38" s="1"/>
      <c r="T38" s="1"/>
      <c r="U38" s="1"/>
      <c r="V38" s="1"/>
      <c r="W38" s="1"/>
    </row>
    <row r="39" spans="1:23" ht="19.5" customHeight="1">
      <c r="A39" s="35"/>
      <c r="B39" s="174" t="s">
        <v>61</v>
      </c>
      <c r="C39" s="174"/>
      <c r="D39" s="174"/>
      <c r="E39" s="174"/>
      <c r="F39" s="174"/>
      <c r="G39" s="174"/>
      <c r="H39" s="174"/>
      <c r="I39" s="174"/>
      <c r="J39" s="37">
        <f>SUM(J32:J38)</f>
        <v>5</v>
      </c>
      <c r="K39" s="35"/>
      <c r="L39" s="35"/>
      <c r="M39" s="37">
        <f>SUM(M32:M38)</f>
        <v>0</v>
      </c>
      <c r="N39" s="38">
        <f>SUM(N32:N38)</f>
        <v>0</v>
      </c>
      <c r="O39" s="35"/>
      <c r="P39" s="35"/>
      <c r="Q39" s="35"/>
      <c r="R39" s="35"/>
      <c r="S39" s="35"/>
      <c r="T39" s="35"/>
      <c r="U39" s="35"/>
      <c r="V39" s="35"/>
      <c r="W39" s="35"/>
    </row>
    <row r="40" spans="1:23" ht="6" customHeight="1">
      <c r="A40" s="1"/>
      <c r="B40" s="1"/>
      <c r="C40" s="1"/>
      <c r="D40" s="1"/>
      <c r="E40" s="1"/>
      <c r="F40" s="1"/>
      <c r="G40" s="1"/>
      <c r="H40" s="1"/>
      <c r="I40" s="1"/>
      <c r="J40" s="1"/>
      <c r="K40" s="1"/>
      <c r="L40" s="1"/>
      <c r="M40" s="1"/>
      <c r="N40" s="1"/>
      <c r="O40" s="1"/>
      <c r="P40" s="1"/>
      <c r="Q40" s="1"/>
    </row>
    <row r="41" spans="1:23" ht="21.75" customHeight="1">
      <c r="A41" s="39"/>
      <c r="B41" s="175" t="s">
        <v>31</v>
      </c>
      <c r="C41" s="175"/>
      <c r="D41" s="175"/>
      <c r="E41" s="175"/>
      <c r="F41" s="175"/>
      <c r="G41" s="175"/>
      <c r="H41" s="175"/>
      <c r="I41" s="175"/>
      <c r="J41" s="40">
        <v>0</v>
      </c>
      <c r="K41" s="39"/>
      <c r="L41" s="39"/>
      <c r="M41" s="39"/>
      <c r="N41" s="39"/>
      <c r="O41" s="39"/>
      <c r="P41" s="39"/>
      <c r="Q41" s="39"/>
      <c r="R41" s="39"/>
      <c r="S41" s="39"/>
      <c r="T41" s="39"/>
      <c r="U41" s="39"/>
      <c r="V41" s="39"/>
      <c r="W41" s="39"/>
    </row>
    <row r="42" spans="1:23" ht="18" customHeight="1">
      <c r="A42" s="12">
        <v>1</v>
      </c>
      <c r="B42" s="50" t="s">
        <v>62</v>
      </c>
      <c r="C42" s="51" t="s">
        <v>63</v>
      </c>
      <c r="D42" s="55" t="s">
        <v>36</v>
      </c>
      <c r="E42" s="55" t="s">
        <v>26</v>
      </c>
      <c r="F42" s="55"/>
      <c r="G42" s="50"/>
      <c r="H42" s="55" t="s">
        <v>37</v>
      </c>
      <c r="I42" s="55" t="s">
        <v>64</v>
      </c>
      <c r="J42" s="56">
        <v>1.5</v>
      </c>
      <c r="K42" s="15"/>
      <c r="L42" s="14"/>
      <c r="M42" s="16"/>
      <c r="N42" s="17"/>
      <c r="O42" s="12"/>
      <c r="P42" s="12"/>
      <c r="Q42" s="12"/>
      <c r="R42" s="12"/>
      <c r="S42" s="12"/>
      <c r="T42" s="12"/>
      <c r="U42" s="12"/>
      <c r="V42" s="12"/>
      <c r="W42" s="12"/>
    </row>
    <row r="43" spans="1:23" ht="18" customHeight="1">
      <c r="A43" s="1">
        <v>2</v>
      </c>
      <c r="B43" s="52" t="s">
        <v>65</v>
      </c>
      <c r="C43" s="53" t="s">
        <v>66</v>
      </c>
      <c r="D43" s="57" t="s">
        <v>36</v>
      </c>
      <c r="E43" s="57" t="s">
        <v>26</v>
      </c>
      <c r="F43" s="57"/>
      <c r="G43" s="52"/>
      <c r="H43" s="57" t="s">
        <v>67</v>
      </c>
      <c r="I43" s="57" t="s">
        <v>64</v>
      </c>
      <c r="J43" s="68">
        <v>0.22</v>
      </c>
      <c r="K43" s="20"/>
      <c r="L43" s="19"/>
      <c r="M43" s="21"/>
      <c r="N43" s="22"/>
      <c r="O43" s="1"/>
      <c r="P43" s="1"/>
      <c r="Q43" s="1"/>
      <c r="R43" s="1"/>
      <c r="S43" s="1"/>
      <c r="T43" s="1"/>
      <c r="U43" s="1"/>
      <c r="V43" s="1"/>
      <c r="W43" s="1"/>
    </row>
    <row r="44" spans="1:23" ht="18" customHeight="1">
      <c r="A44" s="12">
        <v>3</v>
      </c>
      <c r="B44" s="50" t="s">
        <v>68</v>
      </c>
      <c r="C44" s="51"/>
      <c r="D44" s="55" t="s">
        <v>36</v>
      </c>
      <c r="E44" s="55" t="s">
        <v>26</v>
      </c>
      <c r="F44" s="55"/>
      <c r="G44" s="50"/>
      <c r="H44" s="55"/>
      <c r="I44" s="55" t="s">
        <v>64</v>
      </c>
      <c r="J44" s="69">
        <v>2.5000000000000001E-2</v>
      </c>
      <c r="K44" s="15"/>
      <c r="L44" s="14"/>
      <c r="M44" s="16"/>
      <c r="N44" s="17"/>
      <c r="O44" s="12"/>
      <c r="P44" s="12"/>
      <c r="Q44" s="12"/>
      <c r="R44" s="12"/>
      <c r="S44" s="12"/>
      <c r="T44" s="12"/>
      <c r="U44" s="12"/>
      <c r="V44" s="12"/>
      <c r="W44" s="12"/>
    </row>
    <row r="45" spans="1:23" ht="18" customHeight="1">
      <c r="A45" s="1">
        <v>4</v>
      </c>
      <c r="B45" s="18"/>
      <c r="C45" s="19"/>
      <c r="D45" s="20"/>
      <c r="E45" s="20"/>
      <c r="F45" s="20"/>
      <c r="G45" s="18"/>
      <c r="H45" s="20"/>
      <c r="I45" s="20"/>
      <c r="J45" s="21"/>
      <c r="K45" s="20"/>
      <c r="L45" s="19"/>
      <c r="M45" s="21"/>
      <c r="N45" s="22"/>
      <c r="O45" s="1"/>
      <c r="P45" s="1"/>
      <c r="Q45" s="1"/>
      <c r="R45" s="1"/>
      <c r="S45" s="1"/>
      <c r="T45" s="1"/>
      <c r="U45" s="1"/>
      <c r="V45" s="1"/>
      <c r="W45" s="1"/>
    </row>
    <row r="46" spans="1:23" ht="18" customHeight="1">
      <c r="A46" s="12">
        <v>5</v>
      </c>
      <c r="B46" s="13"/>
      <c r="C46" s="14"/>
      <c r="D46" s="15"/>
      <c r="E46" s="15"/>
      <c r="F46" s="15"/>
      <c r="G46" s="13"/>
      <c r="H46" s="15"/>
      <c r="I46" s="15"/>
      <c r="J46" s="16"/>
      <c r="K46" s="15"/>
      <c r="L46" s="14"/>
      <c r="M46" s="16"/>
      <c r="N46" s="17"/>
      <c r="O46" s="12"/>
      <c r="P46" s="12"/>
      <c r="Q46" s="12"/>
      <c r="R46" s="12"/>
      <c r="S46" s="12"/>
      <c r="T46" s="12"/>
      <c r="U46" s="12"/>
      <c r="V46" s="12"/>
      <c r="W46" s="12"/>
    </row>
    <row r="47" spans="1:23" ht="18" customHeight="1">
      <c r="A47" s="1">
        <v>6</v>
      </c>
      <c r="B47" s="18"/>
      <c r="C47" s="19"/>
      <c r="D47" s="20"/>
      <c r="E47" s="20"/>
      <c r="F47" s="20"/>
      <c r="G47" s="18"/>
      <c r="H47" s="20"/>
      <c r="I47" s="20"/>
      <c r="J47" s="21"/>
      <c r="K47" s="20"/>
      <c r="L47" s="19"/>
      <c r="M47" s="21"/>
      <c r="N47" s="22"/>
      <c r="O47" s="1"/>
      <c r="P47" s="1"/>
      <c r="Q47" s="1"/>
      <c r="R47" s="1"/>
      <c r="S47" s="1"/>
      <c r="T47" s="1"/>
      <c r="U47" s="1"/>
      <c r="V47" s="1"/>
      <c r="W47" s="1"/>
    </row>
    <row r="48" spans="1:23" ht="18" customHeight="1">
      <c r="A48" s="12">
        <v>7</v>
      </c>
      <c r="B48" s="13"/>
      <c r="C48" s="14"/>
      <c r="D48" s="15"/>
      <c r="E48" s="15"/>
      <c r="F48" s="15"/>
      <c r="G48" s="13"/>
      <c r="H48" s="15"/>
      <c r="I48" s="15"/>
      <c r="J48" s="16"/>
      <c r="K48" s="15"/>
      <c r="L48" s="14"/>
      <c r="M48" s="16"/>
      <c r="N48" s="17"/>
      <c r="O48" s="12"/>
      <c r="P48" s="12"/>
      <c r="Q48" s="12"/>
      <c r="R48" s="12"/>
      <c r="S48" s="12"/>
      <c r="T48" s="12"/>
      <c r="U48" s="12"/>
      <c r="V48" s="12"/>
      <c r="W48" s="12"/>
    </row>
    <row r="49" spans="1:23" ht="18" customHeight="1">
      <c r="A49" s="1">
        <v>8</v>
      </c>
      <c r="B49" s="18"/>
      <c r="C49" s="19"/>
      <c r="D49" s="20"/>
      <c r="E49" s="20"/>
      <c r="F49" s="20"/>
      <c r="G49" s="18"/>
      <c r="H49" s="20"/>
      <c r="I49" s="20"/>
      <c r="J49" s="21"/>
      <c r="K49" s="20"/>
      <c r="L49" s="19"/>
      <c r="M49" s="21"/>
      <c r="N49" s="22"/>
      <c r="O49" s="1"/>
      <c r="P49" s="1"/>
      <c r="Q49" s="1"/>
      <c r="R49" s="1"/>
      <c r="S49" s="1"/>
      <c r="T49" s="1"/>
      <c r="U49" s="1"/>
      <c r="V49" s="1"/>
      <c r="W49" s="1"/>
    </row>
    <row r="50" spans="1:23" ht="18" customHeight="1">
      <c r="A50" s="12">
        <v>9</v>
      </c>
      <c r="B50" s="13"/>
      <c r="C50" s="14"/>
      <c r="D50" s="15"/>
      <c r="E50" s="15"/>
      <c r="F50" s="15"/>
      <c r="G50" s="13"/>
      <c r="H50" s="15"/>
      <c r="I50" s="15"/>
      <c r="J50" s="16"/>
      <c r="K50" s="15"/>
      <c r="L50" s="14"/>
      <c r="M50" s="16"/>
      <c r="N50" s="17"/>
      <c r="O50" s="12"/>
      <c r="P50" s="12"/>
      <c r="Q50" s="12"/>
      <c r="R50" s="12"/>
      <c r="S50" s="12"/>
      <c r="T50" s="12"/>
      <c r="U50" s="12"/>
      <c r="V50" s="12"/>
      <c r="W50" s="12"/>
    </row>
    <row r="51" spans="1:23" ht="18" customHeight="1">
      <c r="A51" s="1">
        <v>10</v>
      </c>
      <c r="B51" s="18"/>
      <c r="C51" s="19"/>
      <c r="D51" s="20"/>
      <c r="E51" s="20"/>
      <c r="F51" s="20"/>
      <c r="G51" s="18"/>
      <c r="H51" s="20"/>
      <c r="I51" s="20"/>
      <c r="J51" s="21"/>
      <c r="K51" s="20"/>
      <c r="L51" s="19"/>
      <c r="M51" s="21"/>
      <c r="N51" s="22"/>
      <c r="O51" s="1"/>
      <c r="P51" s="1"/>
      <c r="Q51" s="1"/>
      <c r="R51" s="1"/>
      <c r="S51" s="1"/>
      <c r="T51" s="1"/>
      <c r="U51" s="1"/>
      <c r="V51" s="1"/>
      <c r="W51" s="1"/>
    </row>
    <row r="52" spans="1:23" ht="19.5" customHeight="1">
      <c r="A52" s="39"/>
      <c r="B52" s="176" t="s">
        <v>69</v>
      </c>
      <c r="C52" s="176"/>
      <c r="D52" s="176"/>
      <c r="E52" s="176"/>
      <c r="F52" s="176"/>
      <c r="G52" s="176"/>
      <c r="H52" s="176"/>
      <c r="I52" s="176"/>
      <c r="J52" s="67">
        <f>SUM(J42:J51)</f>
        <v>1.7449999999999999</v>
      </c>
      <c r="K52" s="39"/>
      <c r="L52" s="39"/>
      <c r="M52" s="41">
        <f>SUM(M42:M51)</f>
        <v>0</v>
      </c>
      <c r="N52" s="42">
        <f>SUM(N42:N51)</f>
        <v>0</v>
      </c>
      <c r="O52" s="39"/>
      <c r="P52" s="39"/>
      <c r="Q52" s="39"/>
      <c r="R52" s="39"/>
      <c r="S52" s="39"/>
      <c r="T52" s="39"/>
      <c r="U52" s="39"/>
      <c r="V52" s="39"/>
      <c r="W52" s="39"/>
    </row>
    <row r="53" spans="1:23" ht="6" customHeight="1">
      <c r="A53" s="1"/>
      <c r="B53" s="1"/>
      <c r="C53" s="1"/>
      <c r="D53" s="1"/>
      <c r="E53" s="1"/>
      <c r="F53" s="1"/>
      <c r="G53" s="1"/>
      <c r="H53" s="1"/>
      <c r="I53" s="1"/>
      <c r="J53" s="1"/>
      <c r="K53" s="1"/>
      <c r="L53" s="1"/>
      <c r="M53" s="1"/>
      <c r="N53" s="1"/>
      <c r="O53" s="1"/>
      <c r="P53" s="1"/>
      <c r="Q53" s="1"/>
    </row>
    <row r="54" spans="1:23" ht="25.5" customHeight="1">
      <c r="A54" s="6"/>
      <c r="B54" s="170" t="s">
        <v>70</v>
      </c>
      <c r="C54" s="171"/>
      <c r="D54" s="171"/>
      <c r="E54" s="171"/>
      <c r="F54" s="171"/>
      <c r="G54" s="171"/>
      <c r="H54" s="171"/>
      <c r="I54" s="171"/>
      <c r="J54" s="66">
        <f>J16+J29+J39+J52</f>
        <v>19.045000000000002</v>
      </c>
      <c r="K54" s="6"/>
      <c r="L54" s="6"/>
      <c r="M54" s="6"/>
      <c r="N54" s="6"/>
      <c r="O54" s="6"/>
      <c r="P54" s="6"/>
      <c r="Q54" s="6"/>
      <c r="R54" s="6"/>
      <c r="S54" s="6"/>
      <c r="T54" s="6"/>
      <c r="U54" s="6"/>
      <c r="V54" s="6"/>
      <c r="W54" s="6"/>
    </row>
  </sheetData>
  <mergeCells count="16">
    <mergeCell ref="B1:J1"/>
    <mergeCell ref="P1:W1"/>
    <mergeCell ref="B2:J2"/>
    <mergeCell ref="B5:I5"/>
    <mergeCell ref="P6:W6"/>
    <mergeCell ref="P8:W8"/>
    <mergeCell ref="P10:W10"/>
    <mergeCell ref="P12:W12"/>
    <mergeCell ref="B16:I16"/>
    <mergeCell ref="B18:I18"/>
    <mergeCell ref="B54:I54"/>
    <mergeCell ref="B29:I29"/>
    <mergeCell ref="B31:I31"/>
    <mergeCell ref="B39:I39"/>
    <mergeCell ref="B41:I41"/>
    <mergeCell ref="B52:I52"/>
  </mergeCells>
  <conditionalFormatting sqref="B5:B54">
    <cfRule type="expression" dxfId="20" priority="9">
      <formula>$F5="High"</formula>
    </cfRule>
  </conditionalFormatting>
  <conditionalFormatting sqref="B5:N54">
    <cfRule type="expression" dxfId="19" priority="7">
      <formula>$E5="Approved"</formula>
    </cfRule>
    <cfRule type="expression" dxfId="18" priority="8">
      <formula>$E5="Deferred"</formula>
    </cfRule>
  </conditionalFormatting>
  <conditionalFormatting sqref="C19">
    <cfRule type="expression" dxfId="17" priority="1">
      <formula>$F19="High"</formula>
    </cfRule>
  </conditionalFormatting>
  <conditionalFormatting sqref="T5:U14">
    <cfRule type="cellIs" dxfId="16" priority="3" operator="greaterThan">
      <formula>0</formula>
    </cfRule>
    <cfRule type="cellIs" dxfId="15" priority="4" operator="lessThan">
      <formula>0</formula>
    </cfRule>
  </conditionalFormatting>
  <dataValidations count="6">
    <dataValidation type="list" allowBlank="1" showErrorMessage="1" errorTitle="Invalid Type" error="Must be: Carry-Over or New" sqref="D6:D15 D19:D28 D42:D51 D32:D38" xr:uid="{00000000-0002-0000-0100-000000000000}">
      <formula1>"Carry-Over,New"</formula1>
      <formula2>0</formula2>
    </dataValidation>
    <dataValidation type="list" allowBlank="1" showErrorMessage="1" errorTitle="Invalid Status" error="Must be: Proposed, Approved, or Deferred" sqref="E6:E15 E19:E28 E42:E51 E32:E38" xr:uid="{00000000-0002-0000-0100-000001000000}">
      <formula1>"Proposed,Approved,Deferred"</formula1>
      <formula2>0</formula2>
    </dataValidation>
    <dataValidation type="list" allowBlank="1" sqref="F6:F15 F19:F28 F42:F51 F32:F38" xr:uid="{00000000-0002-0000-0100-000002000000}">
      <formula1>"High,Medium,Low"</formula1>
      <formula2>0</formula2>
    </dataValidation>
    <dataValidation type="list" allowBlank="1" sqref="H6:H15 H19:H28 H42:H51 H32:H38" xr:uid="{00000000-0002-0000-0100-000003000000}">
      <formula1>"Q1,Q2,Q3,Q4"</formula1>
      <formula2>0</formula2>
    </dataValidation>
    <dataValidation type="list" allowBlank="1" sqref="I6:I15 I19:I28 I42:I51 I32:I38" xr:uid="{00000000-0002-0000-0100-000004000000}">
      <formula1>"PPT,Compliance,Growth,Ops / Core,Enterprise,Regulatory"</formula1>
      <formula2>0</formula2>
    </dataValidation>
    <dataValidation type="list" allowBlank="1" sqref="K6:K15 K19:K28 K42:K51 K32:K38" xr:uid="{00000000-0002-0000-0100-000005000000}">
      <formula1>"New Writings,Retention,Profitability,Operational Efficiency,Cost Avoidance"</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Q38"/>
  <sheetViews>
    <sheetView showGridLines="0" tabSelected="1" zoomScaleNormal="100" workbookViewId="0">
      <pane xSplit="1" ySplit="4" topLeftCell="B21" activePane="bottomRight" state="frozen"/>
      <selection pane="bottomRight" activeCell="P34" sqref="P34"/>
      <selection pane="bottomLeft" activeCell="A6" sqref="A6"/>
      <selection pane="topRight" activeCell="B1" sqref="B1"/>
    </sheetView>
  </sheetViews>
  <sheetFormatPr defaultColWidth="8.5703125" defaultRowHeight="15" customHeight="1"/>
  <cols>
    <col min="1" max="1" width="4" style="72" customWidth="1"/>
    <col min="2" max="2" width="10.5703125" style="72" customWidth="1"/>
    <col min="3" max="3" width="55" style="72" customWidth="1"/>
    <col min="4" max="4" width="39.140625" style="72" customWidth="1"/>
    <col min="5" max="5" width="9.5703125" style="98" customWidth="1"/>
    <col min="6" max="6" width="7.85546875" style="98" customWidth="1"/>
    <col min="7" max="7" width="32" style="72" customWidth="1"/>
    <col min="8" max="8" width="13" style="72" customWidth="1"/>
    <col min="9" max="9" width="11.85546875" style="72" customWidth="1"/>
    <col min="10" max="10" width="12.42578125" style="72" customWidth="1"/>
    <col min="11" max="11" width="12" style="72" customWidth="1"/>
    <col min="12" max="12" width="11" style="72" customWidth="1"/>
    <col min="13" max="13" width="13.5703125" style="72" customWidth="1"/>
    <col min="14" max="14" width="17.7109375" style="72" customWidth="1"/>
    <col min="15" max="15" width="24.42578125" style="72" customWidth="1"/>
    <col min="16" max="16" width="145.140625" style="115" customWidth="1"/>
    <col min="17" max="17" width="32" style="72" customWidth="1"/>
    <col min="18" max="16384" width="8.5703125" style="72"/>
  </cols>
  <sheetData>
    <row r="1" spans="1:17" ht="31.5" customHeight="1">
      <c r="A1" s="99"/>
      <c r="B1" s="99"/>
      <c r="C1" s="167" t="s">
        <v>71</v>
      </c>
      <c r="D1" s="167"/>
      <c r="E1" s="167"/>
      <c r="F1" s="167"/>
      <c r="G1" s="167"/>
      <c r="H1" s="167"/>
      <c r="I1" s="167"/>
      <c r="J1" s="167"/>
      <c r="K1" s="167"/>
      <c r="L1" s="100"/>
      <c r="M1" s="100"/>
      <c r="N1" s="100"/>
      <c r="O1" s="100"/>
      <c r="P1" s="110"/>
      <c r="Q1" s="99"/>
    </row>
    <row r="2" spans="1:17" ht="21.75" customHeight="1">
      <c r="A2" s="99"/>
      <c r="B2" s="99"/>
      <c r="C2" s="168"/>
      <c r="D2" s="168"/>
      <c r="E2" s="168"/>
      <c r="F2" s="168"/>
      <c r="G2" s="169"/>
      <c r="H2" s="169"/>
      <c r="I2" s="169"/>
      <c r="J2" s="169"/>
      <c r="K2" s="169"/>
      <c r="L2" s="101"/>
      <c r="M2" s="101"/>
      <c r="N2" s="101"/>
      <c r="O2" s="101"/>
      <c r="P2" s="111"/>
      <c r="Q2" s="99"/>
    </row>
    <row r="3" spans="1:17" ht="6" customHeight="1">
      <c r="A3" s="90"/>
      <c r="B3" s="90"/>
      <c r="C3" s="90"/>
      <c r="D3" s="90"/>
      <c r="E3" s="95"/>
      <c r="F3" s="95"/>
      <c r="G3" s="90"/>
      <c r="H3" s="90"/>
      <c r="I3" s="90"/>
      <c r="J3" s="90"/>
      <c r="K3" s="90"/>
      <c r="L3" s="90"/>
      <c r="M3" s="90"/>
      <c r="N3" s="90"/>
      <c r="O3" s="90"/>
      <c r="P3" s="112"/>
      <c r="Q3" s="90"/>
    </row>
    <row r="4" spans="1:17" ht="57.75" customHeight="1">
      <c r="A4" s="93" t="s">
        <v>72</v>
      </c>
      <c r="B4" s="102" t="s">
        <v>2</v>
      </c>
      <c r="C4" s="103" t="s">
        <v>10</v>
      </c>
      <c r="D4" s="103" t="s">
        <v>73</v>
      </c>
      <c r="E4" s="93" t="s">
        <v>74</v>
      </c>
      <c r="F4" s="93" t="s">
        <v>75</v>
      </c>
      <c r="G4" s="103" t="s">
        <v>11</v>
      </c>
      <c r="H4" s="103" t="s">
        <v>12</v>
      </c>
      <c r="I4" s="103" t="s">
        <v>76</v>
      </c>
      <c r="J4" s="103" t="s">
        <v>17</v>
      </c>
      <c r="K4" s="103" t="s">
        <v>77</v>
      </c>
      <c r="L4" s="103" t="s">
        <v>78</v>
      </c>
      <c r="M4" s="103" t="s">
        <v>79</v>
      </c>
      <c r="N4" s="103" t="s">
        <v>80</v>
      </c>
      <c r="O4" s="102" t="s">
        <v>81</v>
      </c>
      <c r="P4" s="109" t="s">
        <v>82</v>
      </c>
      <c r="Q4" s="102" t="s">
        <v>83</v>
      </c>
    </row>
    <row r="5" spans="1:17" ht="23.1" customHeight="1">
      <c r="A5" s="165" t="s">
        <v>84</v>
      </c>
      <c r="B5" s="165"/>
      <c r="C5" s="165"/>
      <c r="D5" s="165"/>
      <c r="E5" s="165"/>
      <c r="F5" s="165"/>
      <c r="G5" s="165"/>
      <c r="H5" s="165"/>
      <c r="I5" s="165"/>
      <c r="J5" s="165"/>
      <c r="K5" s="165"/>
      <c r="L5" s="165"/>
      <c r="M5" s="165"/>
      <c r="N5" s="165"/>
      <c r="O5" s="165"/>
      <c r="P5" s="165"/>
      <c r="Q5" s="165"/>
    </row>
    <row r="6" spans="1:17" ht="45" customHeight="1">
      <c r="A6" s="92">
        <v>1</v>
      </c>
      <c r="B6" s="147" t="s">
        <v>85</v>
      </c>
      <c r="C6" s="140" t="s">
        <v>86</v>
      </c>
      <c r="D6" s="140" t="s">
        <v>87</v>
      </c>
      <c r="E6" s="141">
        <v>1030587</v>
      </c>
      <c r="F6" s="141" t="s">
        <v>88</v>
      </c>
      <c r="G6" s="132" t="s">
        <v>89</v>
      </c>
      <c r="H6" s="133" t="s">
        <v>36</v>
      </c>
      <c r="I6" s="121" t="s">
        <v>90</v>
      </c>
      <c r="J6" s="121" t="s">
        <v>91</v>
      </c>
      <c r="K6" s="117">
        <v>3.4</v>
      </c>
      <c r="L6" s="117" t="s">
        <v>92</v>
      </c>
      <c r="M6" s="117">
        <v>0.16</v>
      </c>
      <c r="N6" s="117">
        <v>0.59499999999999997</v>
      </c>
      <c r="O6" s="117">
        <v>4.1500000000000004</v>
      </c>
      <c r="P6" s="134" t="s">
        <v>93</v>
      </c>
      <c r="Q6" s="130"/>
    </row>
    <row r="7" spans="1:17" ht="30" customHeight="1">
      <c r="A7" s="90">
        <v>2</v>
      </c>
      <c r="B7" s="147" t="s">
        <v>85</v>
      </c>
      <c r="C7" s="157" t="s">
        <v>94</v>
      </c>
      <c r="D7" s="157" t="s">
        <v>95</v>
      </c>
      <c r="E7" s="158" t="s">
        <v>95</v>
      </c>
      <c r="F7" s="158" t="s">
        <v>88</v>
      </c>
      <c r="G7" s="135" t="s">
        <v>96</v>
      </c>
      <c r="H7" s="136" t="s">
        <v>36</v>
      </c>
      <c r="I7" s="121" t="s">
        <v>90</v>
      </c>
      <c r="J7" s="121" t="s">
        <v>91</v>
      </c>
      <c r="K7" s="117">
        <v>0.3</v>
      </c>
      <c r="L7" s="117" t="s">
        <v>97</v>
      </c>
      <c r="M7" s="117">
        <v>0</v>
      </c>
      <c r="N7" s="117">
        <v>0</v>
      </c>
      <c r="O7" s="117">
        <v>0.3</v>
      </c>
      <c r="P7" s="134"/>
      <c r="Q7" s="130"/>
    </row>
    <row r="8" spans="1:17">
      <c r="A8" s="92">
        <v>3</v>
      </c>
      <c r="B8" s="160" t="s">
        <v>98</v>
      </c>
      <c r="C8" s="140" t="s">
        <v>99</v>
      </c>
      <c r="D8" s="140" t="s">
        <v>95</v>
      </c>
      <c r="E8" s="141" t="s">
        <v>95</v>
      </c>
      <c r="F8" s="141" t="s">
        <v>88</v>
      </c>
      <c r="G8" s="137" t="s">
        <v>91</v>
      </c>
      <c r="H8" s="136" t="s">
        <v>36</v>
      </c>
      <c r="I8" s="121" t="s">
        <v>90</v>
      </c>
      <c r="J8" s="138" t="s">
        <v>91</v>
      </c>
      <c r="K8" s="117">
        <v>0.3</v>
      </c>
      <c r="L8" s="117" t="s">
        <v>97</v>
      </c>
      <c r="M8" s="117"/>
      <c r="N8" s="117"/>
      <c r="O8" s="117">
        <v>0</v>
      </c>
      <c r="P8" s="134" t="s">
        <v>100</v>
      </c>
      <c r="Q8" s="131"/>
    </row>
    <row r="9" spans="1:17" ht="34.5" customHeight="1">
      <c r="A9" s="92">
        <v>4</v>
      </c>
      <c r="B9" s="147" t="s">
        <v>85</v>
      </c>
      <c r="C9" s="157" t="s">
        <v>101</v>
      </c>
      <c r="D9" s="157" t="s">
        <v>102</v>
      </c>
      <c r="E9" s="158">
        <v>1014865</v>
      </c>
      <c r="F9" s="158" t="s">
        <v>103</v>
      </c>
      <c r="G9" s="132" t="s">
        <v>104</v>
      </c>
      <c r="H9" s="133" t="s">
        <v>43</v>
      </c>
      <c r="I9" s="121" t="s">
        <v>67</v>
      </c>
      <c r="J9" s="121" t="s">
        <v>91</v>
      </c>
      <c r="K9" s="117">
        <v>0.47</v>
      </c>
      <c r="L9" s="117" t="s">
        <v>92</v>
      </c>
      <c r="M9" s="117">
        <v>0</v>
      </c>
      <c r="N9" s="117">
        <v>0</v>
      </c>
      <c r="O9" s="118">
        <v>0.47</v>
      </c>
      <c r="P9" s="134"/>
      <c r="Q9" s="130"/>
    </row>
    <row r="10" spans="1:17" ht="19.5" customHeight="1">
      <c r="A10" s="90">
        <v>5</v>
      </c>
      <c r="B10" s="147" t="s">
        <v>85</v>
      </c>
      <c r="C10" s="140" t="s">
        <v>105</v>
      </c>
      <c r="D10" s="157" t="s">
        <v>102</v>
      </c>
      <c r="E10" s="158">
        <v>1014865</v>
      </c>
      <c r="F10" s="141" t="s">
        <v>103</v>
      </c>
      <c r="G10" s="137" t="s">
        <v>91</v>
      </c>
      <c r="H10" s="136" t="s">
        <v>36</v>
      </c>
      <c r="I10" s="138" t="s">
        <v>27</v>
      </c>
      <c r="J10" s="138" t="s">
        <v>91</v>
      </c>
      <c r="K10" s="117">
        <v>0.3</v>
      </c>
      <c r="L10" s="117" t="s">
        <v>92</v>
      </c>
      <c r="M10" s="117">
        <v>0</v>
      </c>
      <c r="N10" s="117">
        <v>0</v>
      </c>
      <c r="O10" s="118">
        <v>0.3</v>
      </c>
      <c r="P10" s="134"/>
      <c r="Q10" s="130"/>
    </row>
    <row r="11" spans="1:17" ht="24">
      <c r="A11" s="90">
        <v>6</v>
      </c>
      <c r="B11" s="147" t="s">
        <v>98</v>
      </c>
      <c r="C11" s="140" t="s">
        <v>106</v>
      </c>
      <c r="D11" s="140" t="s">
        <v>107</v>
      </c>
      <c r="E11" s="141">
        <v>1014368</v>
      </c>
      <c r="F11" s="141" t="s">
        <v>103</v>
      </c>
      <c r="G11" s="137" t="s">
        <v>91</v>
      </c>
      <c r="H11" s="136" t="s">
        <v>43</v>
      </c>
      <c r="I11" s="138" t="s">
        <v>27</v>
      </c>
      <c r="J11" s="138" t="s">
        <v>91</v>
      </c>
      <c r="K11" s="117">
        <v>0.14299999999999999</v>
      </c>
      <c r="L11" s="117" t="s">
        <v>92</v>
      </c>
      <c r="M11" s="117">
        <v>0.1</v>
      </c>
      <c r="N11" s="117">
        <v>0.1</v>
      </c>
      <c r="O11" s="139">
        <v>0.34</v>
      </c>
      <c r="P11" s="134" t="s">
        <v>108</v>
      </c>
      <c r="Q11" s="130"/>
    </row>
    <row r="12" spans="1:17">
      <c r="A12" s="92">
        <v>7</v>
      </c>
      <c r="B12" s="147" t="s">
        <v>98</v>
      </c>
      <c r="C12" s="140" t="s">
        <v>109</v>
      </c>
      <c r="D12" s="140" t="s">
        <v>110</v>
      </c>
      <c r="E12" s="141">
        <v>1030589</v>
      </c>
      <c r="F12" s="141" t="s">
        <v>103</v>
      </c>
      <c r="G12" s="137" t="s">
        <v>91</v>
      </c>
      <c r="H12" s="133" t="s">
        <v>36</v>
      </c>
      <c r="I12" s="121" t="s">
        <v>90</v>
      </c>
      <c r="J12" s="121" t="s">
        <v>91</v>
      </c>
      <c r="K12" s="117">
        <v>0.51</v>
      </c>
      <c r="L12" s="117" t="s">
        <v>92</v>
      </c>
      <c r="M12" s="117">
        <v>0</v>
      </c>
      <c r="N12" s="117">
        <v>0</v>
      </c>
      <c r="O12" s="117">
        <v>0.51</v>
      </c>
      <c r="P12" s="134"/>
      <c r="Q12" s="131"/>
    </row>
    <row r="13" spans="1:17">
      <c r="A13" s="92">
        <v>8</v>
      </c>
      <c r="B13" s="147" t="s">
        <v>98</v>
      </c>
      <c r="C13" s="140" t="s">
        <v>111</v>
      </c>
      <c r="D13" s="140" t="s">
        <v>112</v>
      </c>
      <c r="E13" s="141">
        <v>1014117</v>
      </c>
      <c r="F13" s="141" t="s">
        <v>88</v>
      </c>
      <c r="G13" s="137" t="s">
        <v>91</v>
      </c>
      <c r="H13" s="136" t="s">
        <v>43</v>
      </c>
      <c r="I13" s="121" t="s">
        <v>90</v>
      </c>
      <c r="J13" s="138" t="s">
        <v>91</v>
      </c>
      <c r="K13" s="117">
        <v>0.8</v>
      </c>
      <c r="L13" s="117" t="s">
        <v>97</v>
      </c>
      <c r="M13" s="117">
        <v>0</v>
      </c>
      <c r="N13" s="117">
        <v>0</v>
      </c>
      <c r="O13" s="117">
        <v>0.8</v>
      </c>
      <c r="P13" s="134"/>
      <c r="Q13" s="131"/>
    </row>
    <row r="14" spans="1:17" ht="84">
      <c r="A14" s="92">
        <v>9</v>
      </c>
      <c r="B14" s="106" t="s">
        <v>98</v>
      </c>
      <c r="C14" s="140" t="s">
        <v>113</v>
      </c>
      <c r="D14" s="140" t="s">
        <v>114</v>
      </c>
      <c r="E14" s="141">
        <v>1031470</v>
      </c>
      <c r="F14" s="141" t="s">
        <v>115</v>
      </c>
      <c r="G14" s="137" t="s">
        <v>116</v>
      </c>
      <c r="H14" s="138" t="s">
        <v>43</v>
      </c>
      <c r="I14" s="138"/>
      <c r="J14" s="138" t="s">
        <v>117</v>
      </c>
      <c r="K14" s="142">
        <v>0</v>
      </c>
      <c r="L14" s="142" t="s">
        <v>92</v>
      </c>
      <c r="M14" s="142"/>
      <c r="N14" s="142"/>
      <c r="O14" s="117">
        <v>5.8000000000000003E-2</v>
      </c>
      <c r="P14" s="143" t="s">
        <v>118</v>
      </c>
      <c r="Q14" s="131"/>
    </row>
    <row r="15" spans="1:17" ht="18" customHeight="1">
      <c r="A15" s="92">
        <v>10</v>
      </c>
      <c r="B15" s="106" t="s">
        <v>98</v>
      </c>
      <c r="C15" s="140" t="s">
        <v>119</v>
      </c>
      <c r="D15" s="140" t="s">
        <v>120</v>
      </c>
      <c r="E15" s="141">
        <v>1025296</v>
      </c>
      <c r="F15" s="141" t="s">
        <v>121</v>
      </c>
      <c r="G15" s="137" t="s">
        <v>39</v>
      </c>
      <c r="H15" s="138" t="s">
        <v>36</v>
      </c>
      <c r="I15" s="138"/>
      <c r="J15" s="138" t="s">
        <v>117</v>
      </c>
      <c r="K15" s="142">
        <v>1.2</v>
      </c>
      <c r="L15" s="142" t="s">
        <v>97</v>
      </c>
      <c r="M15" s="142"/>
      <c r="N15" s="142"/>
      <c r="O15" s="117">
        <v>0</v>
      </c>
      <c r="P15" s="144"/>
      <c r="Q15" s="131"/>
    </row>
    <row r="16" spans="1:17">
      <c r="A16" s="92">
        <v>11</v>
      </c>
      <c r="B16" s="106" t="s">
        <v>98</v>
      </c>
      <c r="C16" s="140" t="s">
        <v>122</v>
      </c>
      <c r="D16" s="140" t="s">
        <v>114</v>
      </c>
      <c r="E16" s="141">
        <v>1031470</v>
      </c>
      <c r="F16" s="141" t="s">
        <v>115</v>
      </c>
      <c r="G16" s="137" t="s">
        <v>116</v>
      </c>
      <c r="H16" s="138" t="s">
        <v>43</v>
      </c>
      <c r="I16" s="138"/>
      <c r="J16" s="138" t="s">
        <v>117</v>
      </c>
      <c r="K16" s="142">
        <v>1.5</v>
      </c>
      <c r="L16" s="142" t="s">
        <v>97</v>
      </c>
      <c r="M16" s="142"/>
      <c r="N16" s="142"/>
      <c r="O16" s="117"/>
      <c r="P16" s="143"/>
      <c r="Q16" s="131"/>
    </row>
    <row r="17" spans="1:17" ht="19.5" customHeight="1">
      <c r="A17" s="90">
        <v>12</v>
      </c>
      <c r="B17" s="106" t="s">
        <v>98</v>
      </c>
      <c r="C17" s="140" t="s">
        <v>41</v>
      </c>
      <c r="D17" s="140" t="s">
        <v>123</v>
      </c>
      <c r="E17" s="141">
        <v>1024618</v>
      </c>
      <c r="F17" s="141" t="s">
        <v>124</v>
      </c>
      <c r="G17" s="122" t="s">
        <v>42</v>
      </c>
      <c r="H17" s="121" t="s">
        <v>43</v>
      </c>
      <c r="I17" s="121"/>
      <c r="J17" s="121" t="s">
        <v>125</v>
      </c>
      <c r="K17" s="117">
        <v>0.75</v>
      </c>
      <c r="L17" s="117" t="s">
        <v>97</v>
      </c>
      <c r="M17" s="117"/>
      <c r="N17" s="117"/>
      <c r="O17" s="117">
        <v>0</v>
      </c>
      <c r="P17" s="134"/>
      <c r="Q17" s="130"/>
    </row>
    <row r="18" spans="1:17" ht="24">
      <c r="A18" s="92">
        <v>13</v>
      </c>
      <c r="B18" s="106" t="s">
        <v>98</v>
      </c>
      <c r="C18" s="140" t="s">
        <v>46</v>
      </c>
      <c r="D18" s="140" t="s">
        <v>126</v>
      </c>
      <c r="E18" s="141">
        <v>1029254</v>
      </c>
      <c r="F18" s="141" t="s">
        <v>124</v>
      </c>
      <c r="G18" s="137" t="s">
        <v>47</v>
      </c>
      <c r="H18" s="138" t="s">
        <v>43</v>
      </c>
      <c r="I18" s="138"/>
      <c r="J18" s="138" t="s">
        <v>127</v>
      </c>
      <c r="K18" s="142">
        <v>0.5</v>
      </c>
      <c r="L18" s="142" t="s">
        <v>97</v>
      </c>
      <c r="M18" s="142"/>
      <c r="N18" s="142"/>
      <c r="O18" s="117">
        <v>0</v>
      </c>
      <c r="P18" s="144"/>
      <c r="Q18" s="131"/>
    </row>
    <row r="19" spans="1:17" ht="24">
      <c r="A19" s="90">
        <v>14</v>
      </c>
      <c r="B19" s="106" t="s">
        <v>98</v>
      </c>
      <c r="C19" s="108" t="s">
        <v>44</v>
      </c>
      <c r="D19" s="140" t="s">
        <v>128</v>
      </c>
      <c r="E19" s="141">
        <v>1029588</v>
      </c>
      <c r="F19" s="121" t="s">
        <v>121</v>
      </c>
      <c r="G19" s="122" t="s">
        <v>129</v>
      </c>
      <c r="H19" s="121" t="s">
        <v>43</v>
      </c>
      <c r="I19" s="121"/>
      <c r="J19" s="121" t="s">
        <v>127</v>
      </c>
      <c r="K19" s="117">
        <v>1</v>
      </c>
      <c r="L19" s="117" t="s">
        <v>92</v>
      </c>
      <c r="M19" s="117"/>
      <c r="N19" s="117"/>
      <c r="O19" s="117">
        <v>0</v>
      </c>
      <c r="P19" s="134" t="s">
        <v>130</v>
      </c>
      <c r="Q19" s="130"/>
    </row>
    <row r="20" spans="1:17">
      <c r="A20" s="92">
        <v>15</v>
      </c>
      <c r="B20" s="106" t="s">
        <v>98</v>
      </c>
      <c r="C20" s="145" t="s">
        <v>48</v>
      </c>
      <c r="D20" s="145" t="s">
        <v>124</v>
      </c>
      <c r="E20" s="138" t="s">
        <v>124</v>
      </c>
      <c r="F20" s="138" t="s">
        <v>124</v>
      </c>
      <c r="G20" s="137" t="s">
        <v>49</v>
      </c>
      <c r="H20" s="138" t="s">
        <v>43</v>
      </c>
      <c r="I20" s="138"/>
      <c r="J20" s="138" t="s">
        <v>127</v>
      </c>
      <c r="K20" s="142">
        <v>0.85</v>
      </c>
      <c r="L20" s="142" t="s">
        <v>97</v>
      </c>
      <c r="M20" s="142"/>
      <c r="N20" s="142"/>
      <c r="O20" s="117">
        <v>0</v>
      </c>
      <c r="P20" s="144"/>
      <c r="Q20" s="131"/>
    </row>
    <row r="21" spans="1:17" ht="48">
      <c r="A21" s="90">
        <v>16</v>
      </c>
      <c r="B21" s="106" t="s">
        <v>98</v>
      </c>
      <c r="C21" s="108" t="s">
        <v>50</v>
      </c>
      <c r="D21" s="122" t="s">
        <v>131</v>
      </c>
      <c r="E21" s="146" t="s">
        <v>132</v>
      </c>
      <c r="F21" s="147" t="s">
        <v>124</v>
      </c>
      <c r="G21" s="122" t="s">
        <v>51</v>
      </c>
      <c r="H21" s="133" t="s">
        <v>43</v>
      </c>
      <c r="I21" s="148"/>
      <c r="J21" s="138" t="s">
        <v>127</v>
      </c>
      <c r="K21" s="142">
        <v>1</v>
      </c>
      <c r="L21" s="142" t="s">
        <v>97</v>
      </c>
      <c r="M21" s="142"/>
      <c r="N21" s="142"/>
      <c r="O21" s="117">
        <v>0</v>
      </c>
      <c r="P21" s="144"/>
      <c r="Q21" s="130"/>
    </row>
    <row r="22" spans="1:17" ht="18" customHeight="1">
      <c r="A22" s="92">
        <v>17</v>
      </c>
      <c r="B22" s="149" t="s">
        <v>133</v>
      </c>
      <c r="C22" s="145" t="s">
        <v>134</v>
      </c>
      <c r="D22" s="145" t="s">
        <v>95</v>
      </c>
      <c r="E22" s="138" t="s">
        <v>95</v>
      </c>
      <c r="F22" s="138" t="s">
        <v>95</v>
      </c>
      <c r="G22" s="150"/>
      <c r="H22" s="138" t="s">
        <v>36</v>
      </c>
      <c r="I22" s="151"/>
      <c r="J22" s="138" t="s">
        <v>117</v>
      </c>
      <c r="K22" s="117">
        <v>0.5</v>
      </c>
      <c r="L22" s="117" t="s">
        <v>97</v>
      </c>
      <c r="M22" s="117"/>
      <c r="N22" s="117"/>
      <c r="O22" s="117">
        <v>0</v>
      </c>
      <c r="P22" s="134"/>
      <c r="Q22" s="131"/>
    </row>
    <row r="23" spans="1:17" ht="26.25" customHeight="1">
      <c r="A23" s="90">
        <v>18</v>
      </c>
      <c r="B23" s="149" t="s">
        <v>133</v>
      </c>
      <c r="C23" s="137" t="s">
        <v>135</v>
      </c>
      <c r="D23" s="159"/>
      <c r="E23" s="138" t="s">
        <v>95</v>
      </c>
      <c r="F23" s="138" t="s">
        <v>95</v>
      </c>
      <c r="G23" s="152"/>
      <c r="H23" s="121" t="s">
        <v>36</v>
      </c>
      <c r="I23" s="148"/>
      <c r="J23" s="138" t="s">
        <v>117</v>
      </c>
      <c r="K23" s="117">
        <v>0.25</v>
      </c>
      <c r="L23" s="117" t="s">
        <v>97</v>
      </c>
      <c r="M23" s="117"/>
      <c r="N23" s="117"/>
      <c r="O23" s="117">
        <v>0</v>
      </c>
      <c r="P23" s="153" t="s">
        <v>136</v>
      </c>
      <c r="Q23" s="130"/>
    </row>
    <row r="24" spans="1:17" ht="18" customHeight="1">
      <c r="A24" s="92">
        <v>19</v>
      </c>
      <c r="B24" s="149" t="s">
        <v>133</v>
      </c>
      <c r="C24" s="145" t="s">
        <v>137</v>
      </c>
      <c r="D24" s="159"/>
      <c r="E24" s="138" t="s">
        <v>95</v>
      </c>
      <c r="F24" s="138" t="s">
        <v>95</v>
      </c>
      <c r="G24" s="150"/>
      <c r="H24" s="138" t="s">
        <v>36</v>
      </c>
      <c r="I24" s="151"/>
      <c r="J24" s="138" t="s">
        <v>117</v>
      </c>
      <c r="K24" s="117">
        <v>0.5</v>
      </c>
      <c r="L24" s="117" t="s">
        <v>97</v>
      </c>
      <c r="M24" s="117"/>
      <c r="N24" s="117"/>
      <c r="O24" s="117">
        <v>0</v>
      </c>
      <c r="P24" s="154" t="s">
        <v>138</v>
      </c>
      <c r="Q24" s="131"/>
    </row>
    <row r="25" spans="1:17" ht="18" customHeight="1">
      <c r="A25" s="90">
        <v>20</v>
      </c>
      <c r="B25" s="149" t="s">
        <v>133</v>
      </c>
      <c r="C25" s="108" t="s">
        <v>139</v>
      </c>
      <c r="D25" s="140" t="s">
        <v>140</v>
      </c>
      <c r="E25" s="155">
        <v>1031355</v>
      </c>
      <c r="F25" s="121" t="s">
        <v>124</v>
      </c>
      <c r="G25" s="152"/>
      <c r="H25" s="121" t="s">
        <v>36</v>
      </c>
      <c r="I25" s="148"/>
      <c r="J25" s="138" t="s">
        <v>117</v>
      </c>
      <c r="K25" s="117">
        <v>0.5</v>
      </c>
      <c r="L25" s="117" t="s">
        <v>97</v>
      </c>
      <c r="M25" s="117"/>
      <c r="N25" s="117"/>
      <c r="O25" s="117">
        <v>0</v>
      </c>
      <c r="P25" s="134"/>
      <c r="Q25" s="130"/>
    </row>
    <row r="26" spans="1:17" ht="18" customHeight="1">
      <c r="A26" s="92">
        <v>21</v>
      </c>
      <c r="B26" s="149" t="s">
        <v>133</v>
      </c>
      <c r="C26" s="119" t="s">
        <v>141</v>
      </c>
      <c r="D26" s="140" t="s">
        <v>142</v>
      </c>
      <c r="E26" s="155">
        <v>1028060</v>
      </c>
      <c r="F26" s="136" t="s">
        <v>143</v>
      </c>
      <c r="G26" s="150"/>
      <c r="H26" s="136" t="s">
        <v>43</v>
      </c>
      <c r="I26" s="151"/>
      <c r="J26" s="138" t="s">
        <v>117</v>
      </c>
      <c r="K26" s="117">
        <v>0.25</v>
      </c>
      <c r="L26" s="139"/>
      <c r="M26" s="139">
        <v>0</v>
      </c>
      <c r="N26" s="139"/>
      <c r="O26" s="139"/>
      <c r="P26" s="134" t="s">
        <v>144</v>
      </c>
      <c r="Q26" s="131"/>
    </row>
    <row r="27" spans="1:17" ht="18" customHeight="1">
      <c r="A27" s="90">
        <v>22</v>
      </c>
      <c r="B27" s="149" t="s">
        <v>133</v>
      </c>
      <c r="C27" s="156" t="s">
        <v>145</v>
      </c>
      <c r="D27" s="156" t="s">
        <v>146</v>
      </c>
      <c r="E27" s="155">
        <v>1031717</v>
      </c>
      <c r="F27" s="133" t="s">
        <v>147</v>
      </c>
      <c r="G27" s="152"/>
      <c r="H27" s="138" t="s">
        <v>36</v>
      </c>
      <c r="I27" s="148"/>
      <c r="J27" s="138" t="s">
        <v>117</v>
      </c>
      <c r="K27" s="117">
        <v>0.5</v>
      </c>
      <c r="L27" s="117" t="s">
        <v>92</v>
      </c>
      <c r="M27" s="117"/>
      <c r="N27" s="117"/>
      <c r="O27" s="117"/>
      <c r="P27" s="134" t="s">
        <v>148</v>
      </c>
      <c r="Q27" s="130"/>
    </row>
    <row r="28" spans="1:17" ht="17.100000000000001" customHeight="1">
      <c r="A28" s="92">
        <v>23</v>
      </c>
      <c r="B28" s="149" t="s">
        <v>133</v>
      </c>
      <c r="C28" s="119" t="s">
        <v>149</v>
      </c>
      <c r="D28" s="159"/>
      <c r="E28" s="158"/>
      <c r="F28" s="136"/>
      <c r="G28" s="150"/>
      <c r="H28" s="138" t="s">
        <v>36</v>
      </c>
      <c r="I28" s="151"/>
      <c r="J28" s="138" t="s">
        <v>117</v>
      </c>
      <c r="K28" s="117">
        <v>0.5</v>
      </c>
      <c r="L28" s="117" t="s">
        <v>97</v>
      </c>
      <c r="M28" s="117"/>
      <c r="N28" s="117"/>
      <c r="O28" s="117">
        <v>0</v>
      </c>
      <c r="P28" s="154" t="s">
        <v>138</v>
      </c>
      <c r="Q28" s="131"/>
    </row>
    <row r="29" spans="1:17" ht="39.75" customHeight="1">
      <c r="A29" s="90">
        <v>24</v>
      </c>
      <c r="B29" s="149" t="s">
        <v>133</v>
      </c>
      <c r="C29" s="157" t="s">
        <v>150</v>
      </c>
      <c r="D29" s="156" t="s">
        <v>151</v>
      </c>
      <c r="E29" s="158"/>
      <c r="F29" s="158" t="s">
        <v>88</v>
      </c>
      <c r="G29" s="122" t="s">
        <v>116</v>
      </c>
      <c r="H29" s="121" t="s">
        <v>43</v>
      </c>
      <c r="I29" s="121"/>
      <c r="J29" s="121" t="s">
        <v>117</v>
      </c>
      <c r="K29" s="117">
        <v>2</v>
      </c>
      <c r="L29" s="117" t="s">
        <v>92</v>
      </c>
      <c r="M29" s="117">
        <v>0.4</v>
      </c>
      <c r="N29" s="117">
        <v>0</v>
      </c>
      <c r="O29" s="117">
        <v>2.4</v>
      </c>
      <c r="P29" s="134" t="s">
        <v>152</v>
      </c>
      <c r="Q29" s="130"/>
    </row>
    <row r="30" spans="1:17" ht="18" customHeight="1">
      <c r="A30" s="92">
        <v>25</v>
      </c>
      <c r="B30" s="149" t="s">
        <v>153</v>
      </c>
      <c r="C30" s="119" t="s">
        <v>154</v>
      </c>
      <c r="D30" s="119" t="s">
        <v>155</v>
      </c>
      <c r="E30" s="120">
        <v>1029859</v>
      </c>
      <c r="F30" s="136" t="s">
        <v>103</v>
      </c>
      <c r="G30" s="135" t="s">
        <v>95</v>
      </c>
      <c r="H30" s="151"/>
      <c r="I30" s="151"/>
      <c r="J30" s="151"/>
      <c r="K30" s="117">
        <v>2.5</v>
      </c>
      <c r="L30" s="117" t="s">
        <v>97</v>
      </c>
      <c r="M30" s="117"/>
      <c r="N30" s="117"/>
      <c r="O30" s="117">
        <v>0</v>
      </c>
      <c r="P30" s="134" t="s">
        <v>156</v>
      </c>
      <c r="Q30" s="131"/>
    </row>
    <row r="31" spans="1:17" ht="18" customHeight="1">
      <c r="B31" s="104"/>
      <c r="C31" s="94" t="s">
        <v>157</v>
      </c>
      <c r="D31" s="94"/>
      <c r="E31" s="96"/>
      <c r="F31" s="96"/>
      <c r="G31" s="104"/>
      <c r="H31" s="104"/>
      <c r="I31" s="104"/>
      <c r="J31" s="104"/>
      <c r="K31" s="104"/>
      <c r="L31" s="104"/>
      <c r="M31" s="104"/>
      <c r="N31" s="104"/>
      <c r="O31" s="105">
        <f>SUM(O6:O30)</f>
        <v>9.3279999999999994</v>
      </c>
      <c r="P31" s="113"/>
      <c r="Q31" s="92"/>
    </row>
    <row r="32" spans="1:17" ht="57.75" customHeight="1">
      <c r="A32" s="166" t="s">
        <v>158</v>
      </c>
      <c r="B32" s="166"/>
      <c r="C32" s="166"/>
      <c r="D32" s="166"/>
      <c r="E32" s="166"/>
      <c r="F32" s="166"/>
      <c r="G32" s="166"/>
      <c r="H32" s="166"/>
      <c r="I32" s="166"/>
      <c r="J32" s="166"/>
      <c r="K32" s="166"/>
      <c r="L32" s="166"/>
      <c r="M32" s="166"/>
      <c r="N32" s="166"/>
      <c r="O32" s="166"/>
      <c r="P32" s="166"/>
      <c r="Q32" s="166"/>
    </row>
    <row r="33" spans="1:17" ht="33.75" customHeight="1">
      <c r="A33" s="90">
        <v>2</v>
      </c>
      <c r="B33" s="106"/>
      <c r="C33" s="107"/>
      <c r="D33" s="119" t="s">
        <v>159</v>
      </c>
      <c r="E33" s="120">
        <v>1030950</v>
      </c>
      <c r="F33" s="121" t="s">
        <v>160</v>
      </c>
      <c r="G33" s="122"/>
      <c r="H33" s="121"/>
      <c r="I33" s="121"/>
      <c r="J33" s="121"/>
      <c r="K33" s="117"/>
      <c r="L33" s="117" t="s">
        <v>92</v>
      </c>
      <c r="M33" s="117">
        <v>0</v>
      </c>
      <c r="N33" s="117">
        <v>4.4999999999999998E-2</v>
      </c>
      <c r="O33" s="117">
        <v>4.4999999999999998E-2</v>
      </c>
      <c r="P33" s="162" t="s">
        <v>161</v>
      </c>
      <c r="Q33" s="91"/>
    </row>
    <row r="34" spans="1:17" ht="168">
      <c r="A34" s="90">
        <v>3</v>
      </c>
      <c r="B34" s="106"/>
      <c r="C34" s="107"/>
      <c r="D34" s="119" t="s">
        <v>162</v>
      </c>
      <c r="E34" s="120">
        <v>1030240</v>
      </c>
      <c r="F34" s="121" t="s">
        <v>163</v>
      </c>
      <c r="G34" s="122"/>
      <c r="H34" s="121"/>
      <c r="I34" s="121"/>
      <c r="J34" s="121"/>
      <c r="K34" s="117"/>
      <c r="L34" s="117" t="s">
        <v>92</v>
      </c>
      <c r="M34" s="161" t="s">
        <v>164</v>
      </c>
      <c r="N34" s="117">
        <v>258596</v>
      </c>
      <c r="O34" s="117">
        <v>258596</v>
      </c>
      <c r="P34" s="163" t="s">
        <v>165</v>
      </c>
      <c r="Q34" s="91"/>
    </row>
    <row r="35" spans="1:17" ht="108">
      <c r="A35" s="90"/>
      <c r="B35" s="106"/>
      <c r="C35" s="107"/>
      <c r="D35" s="119" t="s">
        <v>166</v>
      </c>
      <c r="E35" s="120">
        <v>1031134</v>
      </c>
      <c r="F35" s="121" t="s">
        <v>163</v>
      </c>
      <c r="G35" s="122"/>
      <c r="H35" s="121"/>
      <c r="I35" s="121"/>
      <c r="J35" s="121"/>
      <c r="K35" s="117"/>
      <c r="L35" s="117" t="s">
        <v>92</v>
      </c>
      <c r="M35" s="117">
        <v>0</v>
      </c>
      <c r="N35" s="164">
        <v>88824</v>
      </c>
      <c r="O35" s="117">
        <v>88824</v>
      </c>
      <c r="P35" s="163" t="s">
        <v>167</v>
      </c>
      <c r="Q35" s="91"/>
    </row>
    <row r="36" spans="1:17">
      <c r="A36" s="90">
        <v>5</v>
      </c>
      <c r="B36" s="106"/>
      <c r="C36" s="108"/>
      <c r="D36" s="119" t="s">
        <v>168</v>
      </c>
      <c r="E36" s="120">
        <v>1029896</v>
      </c>
      <c r="F36" s="121" t="s">
        <v>147</v>
      </c>
      <c r="G36" s="122"/>
      <c r="H36" s="121"/>
      <c r="I36" s="121"/>
      <c r="J36" s="121"/>
      <c r="K36" s="117"/>
      <c r="L36" s="117" t="s">
        <v>92</v>
      </c>
      <c r="M36" s="117"/>
      <c r="N36" s="117"/>
      <c r="O36" s="117"/>
      <c r="P36" s="116" t="s">
        <v>148</v>
      </c>
      <c r="Q36" s="91"/>
    </row>
    <row r="37" spans="1:17">
      <c r="B37" s="123"/>
      <c r="C37" s="124" t="s">
        <v>169</v>
      </c>
      <c r="D37" s="124"/>
      <c r="E37" s="125"/>
      <c r="F37" s="125"/>
      <c r="G37" s="123"/>
      <c r="H37" s="123"/>
      <c r="I37" s="123"/>
      <c r="J37" s="123"/>
      <c r="K37" s="123"/>
      <c r="L37" s="123"/>
      <c r="M37" s="123"/>
      <c r="N37" s="123"/>
      <c r="O37" s="126">
        <f>SUM(O33:O36)</f>
        <v>347420.04500000004</v>
      </c>
      <c r="P37" s="114"/>
    </row>
    <row r="38" spans="1:17">
      <c r="A38" s="97"/>
      <c r="B38" s="127"/>
      <c r="C38" s="128" t="s">
        <v>170</v>
      </c>
      <c r="D38" s="128"/>
      <c r="E38" s="123"/>
      <c r="F38" s="123"/>
      <c r="G38" s="127"/>
      <c r="H38" s="127"/>
      <c r="I38" s="127"/>
      <c r="J38" s="127"/>
      <c r="K38" s="127"/>
      <c r="L38" s="127"/>
      <c r="M38" s="127"/>
      <c r="N38" s="127"/>
      <c r="O38" s="129">
        <f>O31+O37</f>
        <v>347429.37300000002</v>
      </c>
    </row>
  </sheetData>
  <autoFilter ref="A4:Q4" xr:uid="{00000000-0001-0000-0200-000000000000}"/>
  <mergeCells count="4">
    <mergeCell ref="A5:Q5"/>
    <mergeCell ref="A32:Q32"/>
    <mergeCell ref="C1:K1"/>
    <mergeCell ref="C2:K2"/>
  </mergeCells>
  <conditionalFormatting sqref="C25:D27">
    <cfRule type="expression" dxfId="14" priority="8">
      <formula>#REF!="High"</formula>
    </cfRule>
    <cfRule type="expression" dxfId="13" priority="9">
      <formula>#REF!="Approved"</formula>
    </cfRule>
    <cfRule type="expression" dxfId="12" priority="10">
      <formula>#REF!="Deferred"</formula>
    </cfRule>
  </conditionalFormatting>
  <conditionalFormatting sqref="C33:D36">
    <cfRule type="expression" dxfId="11" priority="5">
      <formula>#REF!="High"</formula>
    </cfRule>
    <cfRule type="expression" dxfId="10" priority="6">
      <formula>#REF!="Approved"</formula>
    </cfRule>
    <cfRule type="expression" dxfId="9" priority="7">
      <formula>#REF!="Deferred"</formula>
    </cfRule>
  </conditionalFormatting>
  <conditionalFormatting sqref="C21:E21 C22:F24 F25:F27 C28:F29 C30:D30 F30">
    <cfRule type="expression" dxfId="8" priority="53">
      <formula>#REF!="High"</formula>
    </cfRule>
  </conditionalFormatting>
  <conditionalFormatting sqref="C21:E21 G21:P21 C22:P22 C23:O24 F25:P27 C28:O28 C29:P29 C30:D30 F30:P30">
    <cfRule type="expression" dxfId="7" priority="70">
      <formula>#REF!="Approved"</formula>
    </cfRule>
    <cfRule type="expression" dxfId="6" priority="71">
      <formula>#REF!="Deferred"</formula>
    </cfRule>
  </conditionalFormatting>
  <conditionalFormatting sqref="C6:F20">
    <cfRule type="expression" dxfId="5" priority="17">
      <formula>#REF!="High"</formula>
    </cfRule>
  </conditionalFormatting>
  <conditionalFormatting sqref="C6:P9 C10:N10 P10 C11:P20">
    <cfRule type="expression" dxfId="4" priority="3">
      <formula>#REF!="Approved"</formula>
    </cfRule>
    <cfRule type="expression" dxfId="3" priority="4">
      <formula>#REF!="Deferred"</formula>
    </cfRule>
  </conditionalFormatting>
  <conditionalFormatting sqref="F33:F36">
    <cfRule type="expression" dxfId="2" priority="29">
      <formula>#REF!="High"</formula>
    </cfRule>
  </conditionalFormatting>
  <conditionalFormatting sqref="F33:P36">
    <cfRule type="expression" dxfId="1" priority="1">
      <formula>#REF!="Approved"</formula>
    </cfRule>
    <cfRule type="expression" dxfId="0" priority="2">
      <formula>#REF!="Deferred"</formula>
    </cfRule>
  </conditionalFormatting>
  <dataValidations disablePrompts="1" count="3">
    <dataValidation type="list" allowBlank="1" showErrorMessage="1" errorTitle="Invalid Type" error="Must be: Carry-Over or New" sqref="H6:H30" xr:uid="{00000000-0002-0000-0200-000000000000}">
      <formula1>"Carry-Over,New"</formula1>
      <formula2>0</formula2>
    </dataValidation>
    <dataValidation type="list" allowBlank="1" sqref="I6:I30" xr:uid="{00000000-0002-0000-0200-000003000000}">
      <formula1>"Q1,Q2,Q3,Q4"</formula1>
      <formula2>0</formula2>
    </dataValidation>
    <dataValidation type="list" allowBlank="1" sqref="J6:J30" xr:uid="{00000000-0002-0000-0200-000004000000}">
      <formula1>"PPT,Compliance,Growth,Ops / Core,Enterprise,Regulatory"</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C512-E0EA-4946-A233-808A550532C7}">
  <sheetPr>
    <tabColor theme="8"/>
  </sheetPr>
  <dimension ref="A1:K46"/>
  <sheetViews>
    <sheetView workbookViewId="0">
      <selection activeCell="C31" sqref="C31"/>
    </sheetView>
  </sheetViews>
  <sheetFormatPr defaultRowHeight="15"/>
  <cols>
    <col min="1" max="1" width="10.7109375" style="75" customWidth="1"/>
    <col min="2" max="2" width="49.5703125" bestFit="1" customWidth="1"/>
    <col min="3" max="3" width="21.7109375" customWidth="1"/>
    <col min="4" max="4" width="13" style="75" bestFit="1" customWidth="1"/>
    <col min="5" max="5" width="18.5703125" style="75" bestFit="1" customWidth="1"/>
    <col min="6" max="6" width="13" style="75" bestFit="1" customWidth="1"/>
    <col min="7" max="7" width="28.7109375" style="75" customWidth="1"/>
    <col min="8" max="8" width="28.85546875" style="75" bestFit="1" customWidth="1"/>
    <col min="9" max="10" width="11.42578125" style="75" bestFit="1" customWidth="1"/>
    <col min="11" max="11" width="15.5703125" style="75" bestFit="1" customWidth="1"/>
  </cols>
  <sheetData>
    <row r="1" spans="1:11">
      <c r="A1" s="73"/>
      <c r="B1" s="71" t="s">
        <v>171</v>
      </c>
      <c r="C1" s="71"/>
      <c r="D1" s="73"/>
      <c r="E1" s="73"/>
      <c r="F1" s="73"/>
      <c r="G1" s="73"/>
      <c r="H1" s="73"/>
      <c r="I1" s="73"/>
      <c r="J1" s="73"/>
      <c r="K1" s="73"/>
    </row>
    <row r="2" spans="1:11" s="72" customFormat="1" ht="45">
      <c r="A2" s="79" t="s">
        <v>2</v>
      </c>
      <c r="B2" s="77" t="s">
        <v>172</v>
      </c>
      <c r="C2" s="77" t="s">
        <v>173</v>
      </c>
      <c r="D2" s="78" t="s">
        <v>174</v>
      </c>
      <c r="E2" s="79" t="s">
        <v>175</v>
      </c>
      <c r="F2" s="78" t="s">
        <v>176</v>
      </c>
      <c r="G2" s="79" t="s">
        <v>177</v>
      </c>
      <c r="H2" s="79" t="s">
        <v>178</v>
      </c>
      <c r="I2" s="78" t="s">
        <v>179</v>
      </c>
      <c r="J2" s="78" t="s">
        <v>180</v>
      </c>
      <c r="K2" s="79" t="s">
        <v>181</v>
      </c>
    </row>
    <row r="3" spans="1:11">
      <c r="A3" s="82" t="s">
        <v>85</v>
      </c>
      <c r="B3" s="80" t="s">
        <v>182</v>
      </c>
      <c r="C3" s="80"/>
      <c r="D3" s="81">
        <v>3063884</v>
      </c>
      <c r="E3" s="81">
        <v>1700000</v>
      </c>
      <c r="F3" s="81">
        <v>2800000</v>
      </c>
      <c r="G3" s="81">
        <v>263884</v>
      </c>
      <c r="H3" s="82" t="s">
        <v>92</v>
      </c>
      <c r="I3" s="81">
        <v>5902276</v>
      </c>
      <c r="J3" s="81">
        <v>7031146</v>
      </c>
      <c r="K3" s="81">
        <v>1128870</v>
      </c>
    </row>
    <row r="4" spans="1:11">
      <c r="A4" s="82"/>
      <c r="B4" s="80" t="s">
        <v>183</v>
      </c>
      <c r="C4" s="80"/>
      <c r="D4" s="81">
        <v>6422314</v>
      </c>
      <c r="E4" s="81">
        <v>6600000</v>
      </c>
      <c r="F4" s="81">
        <v>5500000</v>
      </c>
      <c r="G4" s="81">
        <v>922314</v>
      </c>
      <c r="H4" s="82" t="s">
        <v>92</v>
      </c>
      <c r="I4" s="81">
        <v>850000</v>
      </c>
      <c r="J4" s="81">
        <v>751718</v>
      </c>
      <c r="K4" s="83">
        <v>-98282</v>
      </c>
    </row>
    <row r="5" spans="1:11">
      <c r="A5" s="82"/>
      <c r="B5" s="80" t="s">
        <v>184</v>
      </c>
      <c r="C5" s="80"/>
      <c r="D5" s="81">
        <v>5145556</v>
      </c>
      <c r="E5" s="81">
        <v>5000000</v>
      </c>
      <c r="F5" s="81">
        <v>5000000</v>
      </c>
      <c r="G5" s="81">
        <v>145556</v>
      </c>
      <c r="H5" s="82" t="s">
        <v>92</v>
      </c>
      <c r="I5" s="81">
        <v>345000</v>
      </c>
      <c r="J5" s="81">
        <v>544737</v>
      </c>
      <c r="K5" s="81">
        <v>199737</v>
      </c>
    </row>
    <row r="6" spans="1:11">
      <c r="A6" s="82"/>
      <c r="B6" s="80" t="s">
        <v>185</v>
      </c>
      <c r="C6" s="80"/>
      <c r="D6" s="81">
        <v>2940600</v>
      </c>
      <c r="E6" s="81">
        <v>3010000</v>
      </c>
      <c r="F6" s="81">
        <v>3010000</v>
      </c>
      <c r="G6" s="83">
        <v>-69400</v>
      </c>
      <c r="H6" s="82" t="s">
        <v>92</v>
      </c>
      <c r="I6" s="81">
        <v>2742000</v>
      </c>
      <c r="J6" s="81">
        <v>0</v>
      </c>
      <c r="K6" s="83">
        <v>-2742000</v>
      </c>
    </row>
    <row r="7" spans="1:11" ht="35.25" customHeight="1">
      <c r="A7" s="82"/>
      <c r="B7" s="84" t="s">
        <v>186</v>
      </c>
      <c r="C7" s="77" t="s">
        <v>173</v>
      </c>
      <c r="D7" s="85" t="s">
        <v>174</v>
      </c>
      <c r="E7" s="86" t="s">
        <v>175</v>
      </c>
      <c r="F7" s="85" t="s">
        <v>176</v>
      </c>
      <c r="G7" s="86" t="s">
        <v>177</v>
      </c>
      <c r="H7" s="86" t="s">
        <v>178</v>
      </c>
      <c r="I7" s="85" t="s">
        <v>179</v>
      </c>
      <c r="J7" s="85" t="s">
        <v>180</v>
      </c>
      <c r="K7" s="86" t="s">
        <v>187</v>
      </c>
    </row>
    <row r="8" spans="1:11">
      <c r="A8" s="82" t="s">
        <v>98</v>
      </c>
      <c r="B8" s="80" t="s">
        <v>107</v>
      </c>
      <c r="C8" s="80"/>
      <c r="D8" s="81">
        <v>831110</v>
      </c>
      <c r="E8" s="81">
        <v>63700</v>
      </c>
      <c r="F8" s="81">
        <v>840000</v>
      </c>
      <c r="G8" s="83">
        <v>-8890</v>
      </c>
      <c r="H8" s="82" t="s">
        <v>188</v>
      </c>
      <c r="I8" s="81">
        <v>143160</v>
      </c>
      <c r="J8" s="81">
        <v>349074</v>
      </c>
      <c r="K8" s="81">
        <v>205914</v>
      </c>
    </row>
    <row r="9" spans="1:11">
      <c r="A9" s="82" t="s">
        <v>85</v>
      </c>
      <c r="B9" s="80" t="s">
        <v>102</v>
      </c>
      <c r="C9" s="80"/>
      <c r="D9" s="81">
        <v>841696</v>
      </c>
      <c r="E9" s="81">
        <v>809845</v>
      </c>
      <c r="F9" s="81">
        <v>800000</v>
      </c>
      <c r="G9" s="81">
        <v>41696</v>
      </c>
      <c r="H9" s="82" t="s">
        <v>189</v>
      </c>
      <c r="I9" s="81">
        <v>477798</v>
      </c>
      <c r="J9" s="81">
        <v>754704</v>
      </c>
      <c r="K9" s="81">
        <v>276906</v>
      </c>
    </row>
    <row r="10" spans="1:11">
      <c r="A10" s="82" t="s">
        <v>98</v>
      </c>
      <c r="B10" s="80" t="s">
        <v>190</v>
      </c>
      <c r="C10" s="80"/>
      <c r="D10" s="81">
        <v>623349</v>
      </c>
      <c r="E10" s="81">
        <v>718455</v>
      </c>
      <c r="F10" s="81">
        <v>427000</v>
      </c>
      <c r="G10" s="81">
        <v>196349</v>
      </c>
      <c r="H10" s="82" t="s">
        <v>189</v>
      </c>
      <c r="I10" s="81">
        <v>821148</v>
      </c>
      <c r="J10" s="81">
        <v>761882</v>
      </c>
      <c r="K10" s="83">
        <v>-59266</v>
      </c>
    </row>
    <row r="11" spans="1:11">
      <c r="A11" s="82" t="s">
        <v>85</v>
      </c>
      <c r="B11" s="80" t="s">
        <v>87</v>
      </c>
      <c r="C11" s="80"/>
      <c r="D11" s="81">
        <v>276432</v>
      </c>
      <c r="E11" s="81">
        <v>0</v>
      </c>
      <c r="F11" s="81">
        <v>267000</v>
      </c>
      <c r="G11" s="81">
        <v>9432</v>
      </c>
      <c r="H11" s="82" t="s">
        <v>189</v>
      </c>
      <c r="I11" s="81">
        <v>3279033</v>
      </c>
      <c r="J11" s="81">
        <v>4155412</v>
      </c>
      <c r="K11" s="81">
        <v>876379</v>
      </c>
    </row>
    <row r="12" spans="1:11">
      <c r="A12" s="82" t="s">
        <v>98</v>
      </c>
      <c r="B12" s="80" t="s">
        <v>110</v>
      </c>
      <c r="C12" s="80"/>
      <c r="D12" s="81">
        <v>387500</v>
      </c>
      <c r="E12" s="81">
        <v>0</v>
      </c>
      <c r="F12" s="81">
        <v>360000</v>
      </c>
      <c r="G12" s="81">
        <v>27500</v>
      </c>
      <c r="H12" s="82" t="s">
        <v>191</v>
      </c>
      <c r="I12" s="81">
        <v>520000</v>
      </c>
      <c r="J12" s="81">
        <v>543009</v>
      </c>
      <c r="K12" s="81">
        <v>23009</v>
      </c>
    </row>
    <row r="13" spans="1:11">
      <c r="A13" s="89"/>
      <c r="B13" s="80" t="s">
        <v>151</v>
      </c>
      <c r="C13" s="80"/>
      <c r="D13" s="87">
        <v>4111304.79</v>
      </c>
      <c r="E13" s="81">
        <v>6200000</v>
      </c>
      <c r="F13" s="87">
        <v>4100000</v>
      </c>
      <c r="G13" s="81">
        <v>11305</v>
      </c>
      <c r="H13" s="82" t="s">
        <v>191</v>
      </c>
      <c r="I13" s="87">
        <v>850000</v>
      </c>
      <c r="J13" s="81">
        <v>751718</v>
      </c>
      <c r="K13" s="83">
        <v>-98282</v>
      </c>
    </row>
    <row r="14" spans="1:11">
      <c r="A14" s="89"/>
      <c r="B14" s="80" t="s">
        <v>159</v>
      </c>
      <c r="C14" s="80"/>
      <c r="D14" s="87">
        <v>303099.59000000003</v>
      </c>
      <c r="E14" s="81">
        <v>0</v>
      </c>
      <c r="F14" s="87">
        <v>303099.59000000003</v>
      </c>
      <c r="G14" s="81">
        <v>0</v>
      </c>
      <c r="H14" s="82" t="s">
        <v>92</v>
      </c>
      <c r="I14" s="87">
        <v>45000</v>
      </c>
      <c r="J14" s="81">
        <v>44957.79</v>
      </c>
      <c r="K14" s="83">
        <f>J14-I14</f>
        <v>-42.209999999999127</v>
      </c>
    </row>
    <row r="15" spans="1:11">
      <c r="A15" s="82"/>
      <c r="B15" s="80" t="s">
        <v>162</v>
      </c>
      <c r="C15" s="80"/>
      <c r="D15" s="88">
        <v>1106188.25</v>
      </c>
      <c r="E15" s="81">
        <v>1000000</v>
      </c>
      <c r="F15" s="87">
        <v>1106188.25</v>
      </c>
      <c r="G15" s="81">
        <v>0</v>
      </c>
      <c r="H15" s="82" t="s">
        <v>92</v>
      </c>
      <c r="I15" s="87">
        <v>150000</v>
      </c>
      <c r="J15" s="81">
        <v>349785</v>
      </c>
      <c r="K15" s="81">
        <v>199785</v>
      </c>
    </row>
    <row r="16" spans="1:11">
      <c r="A16" s="82"/>
      <c r="B16" s="80" t="s">
        <v>192</v>
      </c>
      <c r="C16" s="80"/>
      <c r="D16" s="87">
        <v>810000</v>
      </c>
      <c r="E16" s="81">
        <v>810000</v>
      </c>
      <c r="F16" s="87">
        <v>810000</v>
      </c>
      <c r="G16" s="81">
        <v>0</v>
      </c>
      <c r="H16" s="82" t="s">
        <v>92</v>
      </c>
      <c r="I16" s="81">
        <v>850000</v>
      </c>
      <c r="J16" s="81">
        <v>0</v>
      </c>
      <c r="K16" s="83">
        <v>-850000</v>
      </c>
    </row>
    <row r="17" spans="1:11">
      <c r="A17" s="82"/>
      <c r="B17" s="80" t="s">
        <v>123</v>
      </c>
      <c r="C17" s="80"/>
      <c r="D17" s="88">
        <v>299972.88</v>
      </c>
      <c r="E17" s="81">
        <v>1300000</v>
      </c>
      <c r="F17" s="87">
        <v>299000</v>
      </c>
      <c r="G17" s="81">
        <v>973</v>
      </c>
      <c r="H17" s="82" t="s">
        <v>92</v>
      </c>
      <c r="I17" s="81">
        <v>750000</v>
      </c>
      <c r="J17" s="81">
        <v>0</v>
      </c>
      <c r="K17" s="83">
        <v>-750000</v>
      </c>
    </row>
    <row r="18" spans="1:11">
      <c r="A18" s="82"/>
      <c r="B18" s="80" t="s">
        <v>193</v>
      </c>
      <c r="C18" s="80"/>
      <c r="D18" s="88">
        <v>749178.11</v>
      </c>
      <c r="E18" s="81">
        <v>0</v>
      </c>
      <c r="F18" s="87">
        <v>750000</v>
      </c>
      <c r="G18" s="83">
        <v>-822</v>
      </c>
      <c r="H18" s="82" t="s">
        <v>92</v>
      </c>
      <c r="I18" s="81">
        <v>50000</v>
      </c>
      <c r="J18" s="81">
        <v>0</v>
      </c>
      <c r="K18" s="83">
        <v>-50000</v>
      </c>
    </row>
    <row r="19" spans="1:11">
      <c r="A19" s="82"/>
      <c r="B19" s="80" t="s">
        <v>194</v>
      </c>
      <c r="C19" s="80"/>
      <c r="D19" s="87">
        <v>104417.58</v>
      </c>
      <c r="E19" s="81">
        <v>230000</v>
      </c>
      <c r="F19" s="87">
        <v>230000</v>
      </c>
      <c r="G19" s="83">
        <v>-125582</v>
      </c>
      <c r="H19" s="82" t="s">
        <v>92</v>
      </c>
      <c r="I19" s="81">
        <v>0</v>
      </c>
      <c r="J19" s="81">
        <v>0</v>
      </c>
      <c r="K19" s="81">
        <v>0</v>
      </c>
    </row>
    <row r="20" spans="1:11">
      <c r="A20" s="82"/>
      <c r="B20" s="80" t="s">
        <v>166</v>
      </c>
      <c r="C20" s="80"/>
      <c r="D20" s="82">
        <v>877960.20000000007</v>
      </c>
      <c r="E20" s="81">
        <v>1000000</v>
      </c>
      <c r="F20" s="87">
        <v>877960.2</v>
      </c>
      <c r="G20" s="81">
        <v>0</v>
      </c>
      <c r="H20" s="82" t="s">
        <v>92</v>
      </c>
      <c r="I20" s="81">
        <v>150000</v>
      </c>
      <c r="J20" s="87">
        <v>149994.01</v>
      </c>
      <c r="K20" s="81">
        <f>J20-I20</f>
        <v>-5.9899999999906868</v>
      </c>
    </row>
    <row r="21" spans="1:11">
      <c r="A21" s="73"/>
      <c r="B21" s="71"/>
      <c r="C21" s="71"/>
      <c r="D21" s="73"/>
      <c r="E21" s="73"/>
      <c r="F21" s="73"/>
      <c r="G21" s="73"/>
      <c r="H21" s="73"/>
      <c r="I21" s="73"/>
      <c r="J21" s="73"/>
      <c r="K21" s="74"/>
    </row>
    <row r="22" spans="1:11">
      <c r="A22" s="73"/>
      <c r="B22" s="71"/>
      <c r="C22" s="71"/>
      <c r="D22" s="73"/>
      <c r="E22" s="73"/>
      <c r="F22" s="73"/>
      <c r="G22" s="73"/>
      <c r="H22" s="73"/>
      <c r="I22" s="73"/>
      <c r="J22" s="73"/>
      <c r="K22" s="73"/>
    </row>
    <row r="23" spans="1:11">
      <c r="A23" s="73"/>
      <c r="B23" s="71"/>
      <c r="C23" s="71"/>
      <c r="D23" s="73"/>
      <c r="E23" s="73"/>
      <c r="F23" s="73"/>
      <c r="G23" s="73"/>
      <c r="H23" s="73"/>
      <c r="I23" s="73"/>
      <c r="J23" s="73"/>
      <c r="K23" s="73"/>
    </row>
    <row r="24" spans="1:11">
      <c r="A24" s="73"/>
      <c r="B24" s="71"/>
      <c r="C24" s="71"/>
      <c r="D24" s="73"/>
      <c r="E24" s="73"/>
      <c r="F24" s="73"/>
      <c r="G24" s="73"/>
      <c r="H24" s="73"/>
      <c r="I24" s="76"/>
      <c r="J24" s="73"/>
      <c r="K24" s="73"/>
    </row>
    <row r="25" spans="1:11">
      <c r="A25" s="73"/>
      <c r="B25" s="71"/>
      <c r="C25" s="71"/>
      <c r="D25" s="73"/>
      <c r="E25" s="73"/>
      <c r="F25" s="73"/>
      <c r="G25" s="73"/>
      <c r="H25" s="73"/>
      <c r="I25" s="73"/>
      <c r="J25" s="73"/>
      <c r="K25" s="73"/>
    </row>
    <row r="26" spans="1:11">
      <c r="A26" s="73"/>
      <c r="B26" s="71"/>
      <c r="C26" s="71"/>
      <c r="D26" s="73"/>
      <c r="E26" s="73"/>
      <c r="F26" s="73"/>
      <c r="G26" s="73"/>
      <c r="H26" s="73"/>
      <c r="I26" s="73"/>
      <c r="J26" s="73"/>
      <c r="K26" s="73"/>
    </row>
    <row r="27" spans="1:11">
      <c r="A27" s="73"/>
      <c r="B27" s="71"/>
      <c r="C27" s="71"/>
      <c r="D27" s="73"/>
      <c r="E27" s="73"/>
      <c r="F27" s="73"/>
      <c r="G27" s="73"/>
      <c r="H27" s="73"/>
      <c r="I27" s="73"/>
      <c r="J27" s="73"/>
      <c r="K27" s="73"/>
    </row>
    <row r="28" spans="1:11">
      <c r="A28" s="73"/>
      <c r="B28" s="71"/>
      <c r="C28" s="71"/>
      <c r="D28" s="73"/>
      <c r="E28" s="73"/>
      <c r="F28" s="73"/>
      <c r="G28" s="73"/>
      <c r="H28" s="73"/>
      <c r="I28" s="73"/>
      <c r="J28" s="73"/>
      <c r="K28" s="73"/>
    </row>
    <row r="29" spans="1:11">
      <c r="A29" s="73"/>
      <c r="B29" s="71"/>
      <c r="C29" s="71"/>
      <c r="D29" s="73"/>
      <c r="E29" s="73"/>
      <c r="F29" s="73"/>
      <c r="G29" s="73"/>
      <c r="H29" s="73"/>
      <c r="I29" s="73"/>
      <c r="J29" s="73"/>
      <c r="K29" s="73"/>
    </row>
    <row r="30" spans="1:11">
      <c r="A30" s="73"/>
      <c r="B30" s="71"/>
      <c r="C30" s="71"/>
      <c r="D30" s="73"/>
      <c r="E30" s="73"/>
      <c r="F30" s="73"/>
      <c r="G30" s="73"/>
      <c r="H30" s="73"/>
      <c r="I30" s="73"/>
      <c r="J30" s="73"/>
      <c r="K30" s="73"/>
    </row>
    <row r="31" spans="1:11">
      <c r="A31" s="73"/>
      <c r="B31" s="71"/>
      <c r="C31" s="71"/>
      <c r="D31" s="73"/>
      <c r="E31" s="73"/>
      <c r="F31" s="73"/>
      <c r="G31" s="73"/>
      <c r="H31" s="73"/>
      <c r="I31" s="73"/>
      <c r="J31" s="73"/>
      <c r="K31" s="73"/>
    </row>
    <row r="32" spans="1:11">
      <c r="A32" s="73"/>
      <c r="B32" s="71"/>
      <c r="C32" s="71"/>
      <c r="D32" s="73"/>
      <c r="E32" s="73"/>
      <c r="F32" s="73"/>
      <c r="G32" s="73"/>
      <c r="H32" s="73"/>
      <c r="I32" s="73"/>
      <c r="J32" s="73"/>
      <c r="K32" s="73"/>
    </row>
    <row r="33" spans="1:11">
      <c r="A33" s="73"/>
      <c r="B33" s="71"/>
      <c r="C33" s="71"/>
      <c r="D33" s="73"/>
      <c r="E33" s="73"/>
      <c r="F33" s="73"/>
      <c r="G33" s="73"/>
      <c r="H33" s="73"/>
      <c r="I33" s="73"/>
      <c r="J33" s="73"/>
      <c r="K33" s="73"/>
    </row>
    <row r="34" spans="1:11">
      <c r="A34" s="73"/>
      <c r="B34" s="71"/>
      <c r="C34" s="71"/>
      <c r="D34" s="73"/>
      <c r="E34" s="73"/>
      <c r="F34" s="73"/>
      <c r="G34" s="73"/>
      <c r="H34" s="73"/>
      <c r="I34" s="73"/>
      <c r="J34" s="73"/>
      <c r="K34" s="73"/>
    </row>
    <row r="35" spans="1:11">
      <c r="A35" s="73"/>
      <c r="B35" s="71"/>
      <c r="C35" s="71"/>
      <c r="D35" s="73"/>
      <c r="E35" s="73"/>
      <c r="F35" s="73"/>
      <c r="G35" s="73"/>
      <c r="H35" s="73"/>
      <c r="I35" s="73"/>
      <c r="J35" s="73"/>
      <c r="K35" s="73"/>
    </row>
    <row r="36" spans="1:11">
      <c r="A36" s="73"/>
      <c r="B36" s="71"/>
      <c r="C36" s="71"/>
      <c r="D36" s="73"/>
      <c r="E36" s="73"/>
      <c r="F36" s="73"/>
      <c r="G36" s="73"/>
      <c r="H36" s="73"/>
      <c r="I36" s="73"/>
      <c r="J36" s="73"/>
      <c r="K36" s="73"/>
    </row>
    <row r="37" spans="1:11">
      <c r="A37" s="73"/>
      <c r="B37" s="71"/>
      <c r="C37" s="71"/>
      <c r="D37" s="73"/>
      <c r="E37" s="73"/>
      <c r="F37" s="73"/>
      <c r="G37" s="73"/>
      <c r="H37" s="73"/>
      <c r="I37" s="73"/>
      <c r="J37" s="73"/>
      <c r="K37" s="73"/>
    </row>
    <row r="38" spans="1:11">
      <c r="A38" s="73"/>
      <c r="B38" s="71"/>
      <c r="C38" s="71"/>
      <c r="D38" s="73"/>
      <c r="E38" s="73"/>
      <c r="F38" s="73"/>
      <c r="G38" s="73"/>
      <c r="H38" s="73"/>
      <c r="I38" s="73"/>
      <c r="J38" s="73"/>
      <c r="K38" s="73"/>
    </row>
    <row r="39" spans="1:11">
      <c r="A39" s="73"/>
      <c r="B39" s="71"/>
      <c r="C39" s="71"/>
      <c r="D39" s="73"/>
      <c r="E39" s="73"/>
      <c r="F39" s="73"/>
      <c r="G39" s="73"/>
      <c r="H39" s="73"/>
      <c r="I39" s="73"/>
      <c r="J39" s="73"/>
      <c r="K39" s="73"/>
    </row>
    <row r="40" spans="1:11">
      <c r="A40" s="73"/>
      <c r="B40" s="71"/>
      <c r="C40" s="71"/>
      <c r="D40" s="73"/>
      <c r="E40" s="73"/>
      <c r="F40" s="73"/>
      <c r="G40" s="73"/>
      <c r="H40" s="73"/>
      <c r="I40" s="73"/>
      <c r="J40" s="73"/>
      <c r="K40" s="73"/>
    </row>
    <row r="41" spans="1:11">
      <c r="A41" s="73"/>
      <c r="B41" s="71"/>
      <c r="C41" s="71"/>
      <c r="D41" s="73"/>
      <c r="E41" s="73"/>
      <c r="F41" s="73"/>
      <c r="G41" s="73"/>
      <c r="H41" s="73"/>
      <c r="I41" s="73"/>
      <c r="J41" s="73"/>
      <c r="K41" s="73"/>
    </row>
    <row r="42" spans="1:11">
      <c r="A42" s="73"/>
      <c r="B42" s="71"/>
      <c r="C42" s="71"/>
      <c r="D42" s="73"/>
      <c r="E42" s="73"/>
      <c r="F42" s="73"/>
      <c r="G42" s="73"/>
      <c r="H42" s="73"/>
      <c r="I42" s="73"/>
      <c r="J42" s="73"/>
      <c r="K42" s="73"/>
    </row>
    <row r="43" spans="1:11">
      <c r="A43" s="73"/>
      <c r="B43" s="71"/>
      <c r="C43" s="71"/>
      <c r="D43" s="73"/>
      <c r="E43" s="73"/>
      <c r="F43" s="73"/>
      <c r="G43" s="73"/>
      <c r="H43" s="73"/>
      <c r="I43" s="73"/>
      <c r="J43" s="73"/>
      <c r="K43" s="73"/>
    </row>
    <row r="44" spans="1:11">
      <c r="A44" s="73"/>
      <c r="B44" s="71"/>
      <c r="C44" s="71"/>
      <c r="D44" s="73"/>
      <c r="E44" s="73"/>
      <c r="F44" s="73"/>
      <c r="G44" s="73"/>
      <c r="H44" s="73"/>
      <c r="I44" s="73"/>
      <c r="J44" s="73"/>
      <c r="K44" s="73"/>
    </row>
    <row r="45" spans="1:11">
      <c r="A45" s="73"/>
      <c r="B45" s="71"/>
      <c r="C45" s="71"/>
      <c r="D45" s="73"/>
      <c r="E45" s="73"/>
      <c r="F45" s="73"/>
      <c r="G45" s="73"/>
      <c r="H45" s="73"/>
      <c r="I45" s="73"/>
      <c r="J45" s="73"/>
      <c r="K45" s="73"/>
    </row>
    <row r="46" spans="1:11">
      <c r="A46" s="73"/>
      <c r="B46" s="71"/>
      <c r="C46" s="71"/>
      <c r="D46" s="73"/>
      <c r="E46" s="73"/>
      <c r="F46" s="73"/>
      <c r="G46" s="73"/>
      <c r="H46" s="73"/>
      <c r="I46" s="73"/>
      <c r="J46" s="73"/>
      <c r="K46" s="7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F0AB2B94E9164080AE6A7AF0D97188" ma:contentTypeVersion="9" ma:contentTypeDescription="Create a new document." ma:contentTypeScope="" ma:versionID="3b2a4e93513da2868a1dace0c5defd20">
  <xsd:schema xmlns:xsd="http://www.w3.org/2001/XMLSchema" xmlns:xs="http://www.w3.org/2001/XMLSchema" xmlns:p="http://schemas.microsoft.com/office/2006/metadata/properties" xmlns:ns2="2e1d4e07-6760-4f2a-9312-949aaba4a6da" xmlns:ns3="b7d811bb-603c-460a-9cfd-cf190d9133f6" targetNamespace="http://schemas.microsoft.com/office/2006/metadata/properties" ma:root="true" ma:fieldsID="0d96902118c4f37bde9f7d6f0bbef530" ns2:_="" ns3:_="">
    <xsd:import namespace="2e1d4e07-6760-4f2a-9312-949aaba4a6da"/>
    <xsd:import namespace="b7d811bb-603c-460a-9cfd-cf190d9133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1d4e07-6760-4f2a-9312-949aaba4a6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b0a7d3-0568-4cb5-b861-555e3d31153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811bb-603c-460a-9cfd-cf190d9133f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f3a11e6-3e35-4797-b11b-7cd9f7711061}" ma:internalName="TaxCatchAll" ma:showField="CatchAllData" ma:web="b7d811bb-603c-460a-9cfd-cf190d9133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1d4e07-6760-4f2a-9312-949aaba4a6da">
      <Terms xmlns="http://schemas.microsoft.com/office/infopath/2007/PartnerControls"/>
    </lcf76f155ced4ddcb4097134ff3c332f>
    <TaxCatchAll xmlns="b7d811bb-603c-460a-9cfd-cf190d9133f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1CE667-4873-4AAA-9670-CB2C3C0A5E20}"/>
</file>

<file path=customXml/itemProps2.xml><?xml version="1.0" encoding="utf-8"?>
<ds:datastoreItem xmlns:ds="http://schemas.openxmlformats.org/officeDocument/2006/customXml" ds:itemID="{1BEB395C-ABB7-4AB3-A025-0A1732B6F9A8}"/>
</file>

<file path=customXml/itemProps3.xml><?xml version="1.0" encoding="utf-8"?>
<ds:datastoreItem xmlns:ds="http://schemas.openxmlformats.org/officeDocument/2006/customXml" ds:itemID="{D449467C-D4CE-470A-8BFB-D37582BB5D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2026-05-05T15:26:08Z</dcterms:created>
  <dcterms:modified xsi:type="dcterms:W3CDTF">2026-10-14T23:27:07Z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0x01010089F0AB2B94E9164080AE6A7AF0D97188</vt:lpwstr>
  </property>
  <property fmtid="{D5CDD505-2E9C-101B-9397-08002B2CF9AE}" pid="3" name="MSIP_Label_92ea8e88-16c4-4b55-a945-7bd6248db4bf_Enabled">
    <vt:lpwstr>true</vt:lpwstr>
  </property>
  <property fmtid="{D5CDD505-2E9C-101B-9397-08002B2CF9AE}" pid="4" name="MSIP_Label_92ea8e88-16c4-4b55-a945-7bd6248db4bf_SetDate">
    <vt:lpwstr>2026-10-05T03:56:34Z</vt:lpwstr>
  </property>
  <property fmtid="{D5CDD505-2E9C-101B-9397-08002B2CF9AE}" pid="5" name="MSIP_Label_92ea8e88-16c4-4b55-a945-7bd6248db4bf_Method">
    <vt:lpwstr>Standard</vt:lpwstr>
  </property>
  <property fmtid="{D5CDD505-2E9C-101B-9397-08002B2CF9AE}" pid="6" name="MSIP_Label_92ea8e88-16c4-4b55-a945-7bd6248db4bf_Name">
    <vt:lpwstr>Internal</vt:lpwstr>
  </property>
  <property fmtid="{D5CDD505-2E9C-101B-9397-08002B2CF9AE}" pid="7" name="MSIP_Label_92ea8e88-16c4-4b55-a945-7bd6248db4bf_SiteId">
    <vt:lpwstr>22140e4c-d390-45c2-b297-a26c516dc461</vt:lpwstr>
  </property>
  <property fmtid="{D5CDD505-2E9C-101B-9397-08002B2CF9AE}" pid="8" name="MSIP_Label_92ea8e88-16c4-4b55-a945-7bd6248db4bf_ActionId">
    <vt:lpwstr>45d0a99f-7b8c-465a-8776-5a1265863256</vt:lpwstr>
  </property>
  <property fmtid="{D5CDD505-2E9C-101B-9397-08002B2CF9AE}" pid="9" name="MSIP_Label_92ea8e88-16c4-4b55-a945-7bd6248db4bf_ContentBits">
    <vt:lpwstr>0</vt:lpwstr>
  </property>
  <property fmtid="{D5CDD505-2E9C-101B-9397-08002B2CF9AE}" pid="10" name="MSIP_Label_92ea8e88-16c4-4b55-a945-7bd6248db4bf_Tag">
    <vt:lpwstr>10, 3, 0, 2</vt:lpwstr>
  </property>
  <property fmtid="{D5CDD505-2E9C-101B-9397-08002B2CF9AE}" pid="11" name="MediaServiceImageTags">
    <vt:lpwstr/>
  </property>
</Properties>
</file>